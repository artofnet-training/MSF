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volatileDependencies.xml" ContentType="application/vnd.openxmlformats-officedocument.spreadsheetml.volatileDependenc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lmoreau.sharepoint.com/sites/FORMATIONS2/EXCEL/EXCEL MODULES/POWER PIVOT/"/>
    </mc:Choice>
  </mc:AlternateContent>
  <xr:revisionPtr revIDLastSave="298" documentId="8_{603E3BB4-EE5D-4D1C-AA00-4B410DC0D526}" xr6:coauthVersionLast="47" xr6:coauthVersionMax="47" xr10:uidLastSave="{31D78183-9196-4E45-BF15-95A000F6BC0A}"/>
  <bookViews>
    <workbookView xWindow="-28920" yWindow="-120" windowWidth="29040" windowHeight="17520" activeTab="2" xr2:uid="{7853C86E-F0B3-45B6-A263-B60E7ABC2EDE}"/>
  </bookViews>
  <sheets>
    <sheet name="PTC_YearType" sheetId="3" r:id="rId1"/>
    <sheet name="PV_ClientsTop10" sheetId="4" r:id="rId2"/>
    <sheet name="PT_KPIs" sheetId="1" r:id="rId3"/>
    <sheet name="PTC_YearCat" sheetId="2" r:id="rId4"/>
  </sheets>
  <definedNames>
    <definedName name="_xlchart.v2.0" hidden="1">PV_ClientsTop10!$A$2:$A$16</definedName>
    <definedName name="_xlchart.v2.1" hidden="1">PV_ClientsTop10!$B$1</definedName>
    <definedName name="_xlchart.v2.2" hidden="1">PV_ClientsTop10!$B$2:$B$16</definedName>
    <definedName name="_xlchart.v2.3" hidden="1">PV_ClientsTop10!$C$1</definedName>
    <definedName name="_xlchart.v2.4" hidden="1">PV_ClientsTop10!$C$2:$C$16</definedName>
    <definedName name="Slicer_Canton">#N/A</definedName>
    <definedName name="Slicer_Type">#N/A</definedName>
  </definedNames>
  <calcPr calcId="191028"/>
  <pivotCaches>
    <pivotCache cacheId="3" r:id="rId5"/>
    <pivotCache cacheId="4" r:id="rId6"/>
    <pivotCache cacheId="5" r:id="rId7"/>
    <pivotCache cacheId="6" r:id="rId8"/>
  </pivotCaches>
  <extLst>
    <ext xmlns:x14="http://schemas.microsoft.com/office/spreadsheetml/2009/9/main" uri="{876F7934-8845-4945-9796-88D515C7AA90}">
      <x14:pivotCaches>
        <pivotCache cacheId="7" r:id="rId9"/>
        <pivotCache cacheId="8"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0742e63f-0534-4a37-b167-2a661f60897a" name="CLIENTS" connection="Excel PP_SampleData_START"/>
          <x15:modelTable id="INVOICES_57a7c973-d3de-4f42-bc3c-72f07b9ddba7" name="INVOICES" connection="Excel PP_SampleData_START"/>
          <x15:modelTable id="SUBCAT_ec2b0808-f1ac-4a2b-a501-eb0e62249e74" name="SUBCAT" connection="Excel PP_SampleData_START"/>
          <x15:modelTable id="dimCat_c242b359-35cc-4097-9a00-143c096be345" name="dimCat" connection="Query - dimCat"/>
          <x15:modelTable id="SERVICES_9aa7379b-a674-4888-8a20-dbd46579bcec" name="SERVICES" connection="Excel PP_SampleData"/>
          <x15:modelTable id="Calendar" name="Calendar" connection="Connection"/>
        </x15:modelTables>
        <x15:modelRelationships>
          <x15:modelRelationship fromTable="INVOICES" fromColumn="clientID" toTable="CLIENTS" toColumn="clientID"/>
          <x15:modelRelationship fromTable="INVOICES" fromColumn="date" toTable="Calendar" toColumn="Date"/>
          <x15:modelRelationship fromTable="INVOICES" fromColumn="serviceID" toTable="SERVICES" toColumn="lineNB"/>
          <x15:modelRelationship fromTable="SUBCAT" fromColumn="CATID" toTable="dimCat" toColumn="catid"/>
          <x15:modelRelationship fromTable="SERVICES" fromColumn="Subcategory" toTable="SUBCAT" toColumn="SUBCA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4" l="1"/>
  <c r="A14" i="4"/>
  <c r="A2" i="4"/>
  <c r="A8" i="4"/>
  <c r="A7" i="4"/>
  <c r="A5" i="4"/>
  <c r="C5" i="4" s="1"/>
  <c r="A13" i="4"/>
  <c r="A9" i="4"/>
  <c r="A15" i="4"/>
  <c r="B1" i="4"/>
  <c r="A10" i="4"/>
  <c r="A11" i="4"/>
  <c r="C14" i="4"/>
  <c r="B14" i="4"/>
  <c r="B11" i="4"/>
  <c r="A16" i="4"/>
  <c r="C11" i="4"/>
  <c r="A4" i="4"/>
  <c r="C4" i="4" s="1"/>
  <c r="B5" i="4"/>
  <c r="A12" i="4"/>
  <c r="A3" i="4"/>
  <c r="B4" i="4"/>
  <c r="C7" i="4"/>
  <c r="B15" i="4"/>
  <c r="C15" i="4"/>
  <c r="C10" i="4"/>
  <c r="C13" i="4"/>
  <c r="A6" i="4"/>
  <c r="B2" i="4"/>
  <c r="C2" i="4"/>
  <c r="C8" i="4"/>
  <c r="B16" i="4"/>
  <c r="C16" i="4"/>
  <c r="A19" i="4"/>
  <c r="C19" i="4"/>
  <c r="B19" i="4"/>
  <c r="B7" i="4"/>
  <c r="B13" i="4"/>
  <c r="B8" i="4"/>
  <c r="B12" i="4"/>
  <c r="C12" i="4"/>
  <c r="C3" i="4"/>
  <c r="B3" i="4"/>
  <c r="C6" i="4"/>
  <c r="B6" i="4"/>
  <c r="B10" i="4" l="1"/>
  <c r="B9" i="4"/>
  <c r="C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45BFA-2EF9-4ACE-8A91-7B652E31E2C6}" name="Connection" type="104" refreshedVersion="0" background="1">
    <extLst>
      <ext xmlns:x15="http://schemas.microsoft.com/office/spreadsheetml/2010/11/main" uri="{DE250136-89BD-433C-8126-D09CA5730AF9}">
        <x15:connection id="Calendar"/>
      </ext>
    </extLst>
  </connection>
  <connection id="2" xr16:uid="{B226A6A7-BD39-453D-BB30-13E8A3386C6C}" name="Excel PP_SampleData" type="100" refreshedVersion="8">
    <extLst>
      <ext xmlns:x15="http://schemas.microsoft.com/office/spreadsheetml/2010/11/main" uri="{DE250136-89BD-433C-8126-D09CA5730AF9}">
        <x15:connection id="fcf86f96-7416-466b-8e2f-d87a068d84f1"/>
      </ext>
    </extLst>
  </connection>
  <connection id="3" xr16:uid="{D2A19366-8A75-4360-BE13-62F6469064DA}" name="Excel PP_SampleData_START" type="100" refreshedVersion="8">
    <extLst>
      <ext xmlns:x15="http://schemas.microsoft.com/office/spreadsheetml/2010/11/main" uri="{DE250136-89BD-433C-8126-D09CA5730AF9}">
        <x15:connection id="18f6b7fa-516b-4283-8de1-2dc3c77d1e53"/>
      </ext>
    </extLst>
  </connection>
  <connection id="4" xr16:uid="{088FFA3C-0A2A-49A8-B050-60D0992803E2}" name="Query - dimCat" description="Connection to the 'dimCat' query in the workbook." type="100" refreshedVersion="8" minRefreshableVersion="5">
    <extLst>
      <ext xmlns:x15="http://schemas.microsoft.com/office/spreadsheetml/2010/11/main" uri="{DE250136-89BD-433C-8126-D09CA5730AF9}">
        <x15:connection id="e059be40-3804-4a42-95de-513a2469fa3c"/>
      </ext>
    </extLst>
  </connection>
  <connection id="5" xr16:uid="{EAB9A55F-1AEE-4D92-96B4-C945C09A0F4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ThisWorkbookDataModel"/>
    <s v="{[Calendar].[Year].&amp;[2021],[Calendar].[Year].&amp;[2022]}"/>
    <s v="{[CLIENTS].[Type].[All]}"/>
    <s v="[CLIENTS].[Client Name].&amp;[A.R.G. Architecture Réalisations Gestion S. à r.l.]"/>
    <s v="[Measures].[NB invoices]"/>
    <s v="[CLIENTS].[Client Name].&amp;[Investissements.NE SA]"/>
    <s v="[CLIENTS].[Client Name].&amp;[L&amp;L investissements SA]"/>
    <s v="[Measures].[Turnover]"/>
    <s v="[CLIENTS].[Client Name].&amp;[SIFINA SA Société d'Investissements Financiers]"/>
    <s v="[CLIENTS].[Client Name].&amp;[Ecogestion Solutions Environnementales Sàrl]"/>
    <s v="[CLIENTS].[Client Name].&amp;[SDCI Constructions Investissements SA]"/>
    <s v="[CLIENTS].[Client Name].&amp;[Ineom Investissement 2 SA]"/>
    <s v="[CLIENTS].[Client Name].&amp;[BMB Gestion Sàrl]"/>
    <s v="[CLIENTS].[Client Name].&amp;[2LS Investissement SA]"/>
    <s v="[CLIENTS].[Client Name].&amp;[PI Parc Investissements SA]"/>
    <s v="[CLIENTS].[Client Name].&amp;[GIF Genève Investissement &amp; Finance (Suisse) SA]"/>
    <s v="[CLIENTS].[Client Name].&amp;[DENTIA Gestion Sàrl]"/>
    <s v="[CLIENTS].[Client Name].&amp;[LOUP INVESTISSEMENT SA]"/>
    <s v="[CLIENTS].[Client Name].&amp;[dpm finances et consulting sàrl]"/>
    <s v="[CLIENTS].[Client Name].&amp;[Prima Investissements SA]"/>
    <s v="#,0 &quot;CHF&quot;;-#,0 &quot;CHF&quot;;#,0 &quot;CHF&quot;"/>
    <s v="{([CLIENTS].[Client Name].&amp;[Ineom Investissement 2 SA]),([CLIENTS].[Client Name].&amp;[2LS Investissement SA]),([CLIENTS].[Client Name].&amp;[GIF Genève Investissement &amp; Finance (Suisse) SA]),([CLIENTS].[Client Name].&amp;[A.R.G. Architecture Réalisations Gestion S. à r.l.]),([CLIENTS].[Client Name].&amp;[L&amp;L investissements SA]),([CLIENTS].[Client Name].&amp;[Ecogestion Solutions Environnementales Sàrl]),([CLIENTS].[Client Name].&amp;[SIFINA SA Société d'Investissements Financiers]),([CLIENTS].[Client Name].&amp;[Investissements.NE SA]),([CLIENTS].[Client Name].&amp;[LOUP INVESTISSEMENT SA]),([CLIENTS].[Client Name].&amp;[dpm finances et consulting sàrl]),([CLIENTS].[Client Name].&amp;[Prima Investissements SA]),([CLIENTS].[Client Name].&amp;[SDCI Constructions Investissements SA]),([CLIENTS].[Client Name].&amp;[BMB Gestion Sàrl]),([CLIENTS].[Client Name].&amp;[PI Parc Investissements SA]),([CLIENTS].[Client Name].&amp;[DENTIA Gestion Sàrl])}"/>
  </metadataStrings>
  <mdxMetadata count="51">
    <mdx n="0" f="s">
      <ms ns="1" c="0"/>
    </mdx>
    <mdx n="0" f="m">
      <t c="1">
        <n x="3"/>
      </t>
    </mdx>
    <mdx n="0" f="m">
      <t c="1">
        <n x="4"/>
      </t>
    </mdx>
    <mdx n="0" f="m">
      <t c="1">
        <n x="5"/>
      </t>
    </mdx>
    <mdx n="0" f="m">
      <t c="1">
        <n x="6"/>
      </t>
    </mdx>
    <mdx n="0" f="m">
      <t c="1">
        <n x="7"/>
      </t>
    </mdx>
    <mdx n="0" f="m">
      <t c="1">
        <n x="8"/>
      </t>
    </mdx>
    <mdx n="0" f="m">
      <t c="1">
        <n x="9"/>
      </t>
    </mdx>
    <mdx n="0" f="m">
      <t c="1">
        <n x="10"/>
      </t>
    </mdx>
    <mdx n="0" f="m">
      <t c="1">
        <n x="11"/>
      </t>
    </mdx>
    <mdx n="0" f="m">
      <t c="1">
        <n x="12"/>
      </t>
    </mdx>
    <mdx n="0" f="m">
      <t c="1">
        <n x="13"/>
      </t>
    </mdx>
    <mdx n="0" f="m">
      <t c="1">
        <n x="14"/>
      </t>
    </mdx>
    <mdx n="0" f="m">
      <t c="1">
        <n x="15"/>
      </t>
    </mdx>
    <mdx n="0" f="m">
      <t c="1">
        <n x="16"/>
      </t>
    </mdx>
    <mdx n="0" f="m">
      <t c="1">
        <n x="17"/>
      </t>
    </mdx>
    <mdx n="0" f="m">
      <t c="1">
        <n x="18"/>
      </t>
    </mdx>
    <mdx n="0" f="m">
      <t c="1">
        <n x="19"/>
      </t>
    </mdx>
    <mdx n="0" f="v">
      <t c="3" fi="0">
        <n x="5"/>
        <n x="4"/>
        <n x="2" s="1"/>
      </t>
    </mdx>
    <mdx n="0" f="v">
      <t c="3" si="20">
        <n x="5"/>
        <n x="7"/>
        <n x="2" s="1"/>
      </t>
    </mdx>
    <mdx n="0" f="v">
      <t c="3" si="20">
        <n x="8"/>
        <n x="7"/>
        <n x="2" s="1"/>
      </t>
    </mdx>
    <mdx n="0" f="v">
      <t c="3" fi="0">
        <n x="8"/>
        <n x="4"/>
        <n x="2" s="1"/>
      </t>
    </mdx>
    <mdx n="0" f="v">
      <t c="3" fi="0">
        <n x="3"/>
        <n x="4"/>
        <n x="2" s="1"/>
      </t>
    </mdx>
    <mdx n="0" f="v">
      <t c="3" si="20">
        <n x="3"/>
        <n x="7"/>
        <n x="2" s="1"/>
      </t>
    </mdx>
    <mdx n="0" f="v">
      <t c="3" fi="0">
        <n x="6"/>
        <n x="4"/>
        <n x="2" s="1"/>
      </t>
    </mdx>
    <mdx n="0" f="v">
      <t c="3" si="20">
        <n x="6"/>
        <n x="7"/>
        <n x="2" s="1"/>
      </t>
    </mdx>
    <mdx n="0" f="v">
      <t c="3" si="20">
        <n x="9"/>
        <n x="7"/>
        <n x="2" s="1"/>
      </t>
    </mdx>
    <mdx n="0" f="v">
      <t c="3" fi="0">
        <n x="9"/>
        <n x="4"/>
        <n x="2" s="1"/>
      </t>
    </mdx>
    <mdx n="0" f="v">
      <t c="3" si="20">
        <n x="10"/>
        <n x="7"/>
        <n x="2" s="1"/>
      </t>
    </mdx>
    <mdx n="0" f="v">
      <t c="3" fi="0">
        <n x="10"/>
        <n x="4"/>
        <n x="2" s="1"/>
      </t>
    </mdx>
    <mdx n="0" f="v">
      <t c="3" si="20">
        <n x="11"/>
        <n x="7"/>
        <n x="2" s="1"/>
      </t>
    </mdx>
    <mdx n="0" f="v">
      <t c="3" fi="0">
        <n x="11"/>
        <n x="4"/>
        <n x="2" s="1"/>
      </t>
    </mdx>
    <mdx n="0" f="s">
      <ms ns="21" c="0"/>
    </mdx>
    <mdx n="0" f="v">
      <t c="3" fi="0">
        <n x="12"/>
        <n x="4"/>
        <n x="2" s="1"/>
      </t>
    </mdx>
    <mdx n="0" f="v">
      <t c="3" si="20">
        <n x="12"/>
        <n x="7"/>
        <n x="2" s="1"/>
      </t>
    </mdx>
    <mdx n="0" f="v">
      <t c="3" si="20">
        <n x="13"/>
        <n x="7"/>
        <n x="2" s="1"/>
      </t>
    </mdx>
    <mdx n="0" f="v">
      <t c="3" fi="0">
        <n x="13"/>
        <n x="4"/>
        <n x="2" s="1"/>
      </t>
    </mdx>
    <mdx n="0" f="v">
      <t c="3" si="20">
        <n x="14"/>
        <n x="7"/>
        <n x="2" s="1"/>
      </t>
    </mdx>
    <mdx n="0" f="v">
      <t c="3" fi="0">
        <n x="14"/>
        <n x="4"/>
        <n x="2" s="1"/>
      </t>
    </mdx>
    <mdx n="0" f="v">
      <t c="3" fi="0">
        <n x="15"/>
        <n x="4"/>
        <n x="2" s="1"/>
      </t>
    </mdx>
    <mdx n="0" f="v">
      <t c="3" si="20">
        <n x="15"/>
        <n x="7"/>
        <n x="2" s="1"/>
      </t>
    </mdx>
    <mdx n="0" f="v">
      <t c="3" si="20">
        <n x="16"/>
        <n x="7"/>
        <n x="2" s="1"/>
      </t>
    </mdx>
    <mdx n="0" f="v">
      <t c="3" fi="0">
        <n x="16"/>
        <n x="4"/>
        <n x="2" s="1"/>
      </t>
    </mdx>
    <mdx n="0" f="v">
      <t c="3" fi="0">
        <n x="17"/>
        <n x="4"/>
        <n x="2" s="1"/>
      </t>
    </mdx>
    <mdx n="0" f="v">
      <t c="3" si="20">
        <n x="17"/>
        <n x="7"/>
        <n x="2" s="1"/>
      </t>
    </mdx>
    <mdx n="0" f="v">
      <t c="3" si="20">
        <n x="18"/>
        <n x="7"/>
        <n x="2" s="1"/>
      </t>
    </mdx>
    <mdx n="0" f="v">
      <t c="3" fi="0">
        <n x="18"/>
        <n x="4"/>
        <n x="2" s="1"/>
      </t>
    </mdx>
    <mdx n="0" f="v">
      <t c="3" si="20">
        <n x="19"/>
        <n x="7"/>
        <n x="2" s="1"/>
      </t>
    </mdx>
    <mdx n="0" f="v">
      <t c="3" fi="0">
        <n x="19"/>
        <n x="4"/>
        <n x="2" s="1"/>
      </t>
    </mdx>
    <mdx n="0" f="v">
      <t c="3" si="20">
        <n x="21" s="1"/>
        <n x="7"/>
        <n x="2" s="1"/>
      </t>
    </mdx>
    <mdx n="0" f="v">
      <t c="3" fi="0">
        <n x="21" s="1"/>
        <n x="4"/>
        <n x="2" s="1"/>
      </t>
    </mdx>
  </mdx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<sst xmlns="http://schemas.openxmlformats.org/spreadsheetml/2006/main" count="75" uniqueCount="42">
  <si>
    <t>Year</t>
  </si>
  <si>
    <t>(Multiple Items)</t>
  </si>
  <si>
    <t>Column Labels</t>
  </si>
  <si>
    <t>SA</t>
  </si>
  <si>
    <t>Sàrl</t>
  </si>
  <si>
    <t>Total Global Profit</t>
  </si>
  <si>
    <t>Total Profit LY</t>
  </si>
  <si>
    <t>Row Labels</t>
  </si>
  <si>
    <t>Global Profit</t>
  </si>
  <si>
    <t>Profit LY</t>
  </si>
  <si>
    <t>Grand Total</t>
  </si>
  <si>
    <t>Turnover</t>
  </si>
  <si>
    <t>KPI 550K</t>
  </si>
  <si>
    <t>Turnover LY</t>
  </si>
  <si>
    <t>KPI LY</t>
  </si>
  <si>
    <t>% total</t>
  </si>
  <si>
    <t>% CY</t>
  </si>
  <si>
    <t>NB invoices</t>
  </si>
  <si>
    <t>janvier</t>
  </si>
  <si>
    <t>février</t>
  </si>
  <si>
    <t>mars</t>
  </si>
  <si>
    <t>avril</t>
  </si>
  <si>
    <t>mai</t>
  </si>
  <si>
    <t>juin</t>
  </si>
  <si>
    <t>juillet</t>
  </si>
  <si>
    <t>août</t>
  </si>
  <si>
    <t>septembre</t>
  </si>
  <si>
    <t>octobre</t>
  </si>
  <si>
    <t>novembre</t>
  </si>
  <si>
    <t>2020 Total</t>
  </si>
  <si>
    <t>2021 Total</t>
  </si>
  <si>
    <t>2022 Total</t>
  </si>
  <si>
    <t xml:space="preserve"> Banking Services</t>
  </si>
  <si>
    <t xml:space="preserve"> Credit &amp; Debt</t>
  </si>
  <si>
    <t xml:space="preserve"> Estate Planning</t>
  </si>
  <si>
    <t xml:space="preserve"> Financial Advisory</t>
  </si>
  <si>
    <t xml:space="preserve"> Financial Technology</t>
  </si>
  <si>
    <t xml:space="preserve"> Insurance Services</t>
  </si>
  <si>
    <t xml:space="preserve"> Investment Services</t>
  </si>
  <si>
    <t xml:space="preserve"> Mortgage Services</t>
  </si>
  <si>
    <t xml:space="preserve"> Retirement Planning</t>
  </si>
  <si>
    <t xml:space="preserve"> Tax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</si>
</sst>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0\ &quot;CHF&quot;;\-#,##0\ &quot;CHF&quot;"/>
    <numFmt numFmtId="7" formatCode="#,##0.00\ &quot;CHF&quot;;\-#,##0.00\ &quot;CHF&quot;"/>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5" fontId="0" fillId="0" borderId="0" xfId="0" applyNumberFormat="1"/>
    <xf numFmtId="0" fontId="0" fillId="0" borderId="0" xfId="0" applyAlignment="1">
      <alignment horizontal="left" indent="1"/>
    </xf>
    <xf numFmtId="10" fontId="0" fillId="0" borderId="0" xfId="0" applyNumberFormat="1"/>
    <xf numFmtId="164" fontId="0" fillId="0" borderId="0" xfId="0" applyNumberFormat="1"/>
    <xf numFmtId="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9" s="4"/>
        <tr r="C9" s="4"/>
        <tr r="B9" s="4"/>
        <tr r="B9" s="4"/>
        <tr r="B10" s="4"/>
        <tr r="B10" s="4"/>
        <tr r="B6" s="4"/>
        <tr r="B6" s="4"/>
        <tr r="C6" s="4"/>
        <tr r="C6" s="4"/>
        <tr r="B3" s="4"/>
        <tr r="B3" s="4"/>
        <tr r="C3" s="4"/>
        <tr r="C3" s="4"/>
        <tr r="C12" s="4"/>
        <tr r="C12" s="4"/>
        <tr r="B12" s="4"/>
        <tr r="B12" s="4"/>
        <tr r="B8" s="4"/>
        <tr r="B8" s="4"/>
        <tr r="B13" s="4"/>
        <tr r="B13" s="4"/>
        <tr r="B7" s="4"/>
        <tr r="B7" s="4"/>
        <tr r="B19" s="4"/>
        <tr r="B19" s="4"/>
        <tr r="C19" s="4"/>
        <tr r="C19" s="4"/>
        <tr r="A19" s="4"/>
        <tr r="C16" s="4"/>
        <tr r="C16" s="4"/>
        <tr r="B16" s="4"/>
        <tr r="B16" s="4"/>
        <tr r="C8" s="4"/>
        <tr r="C8" s="4"/>
        <tr r="C2" s="4"/>
        <tr r="C2" s="4"/>
        <tr r="B2" s="4"/>
        <tr r="B2" s="4"/>
        <tr r="A6" s="4"/>
        <tr r="C13" s="4"/>
        <tr r="C13" s="4"/>
        <tr r="C10" s="4"/>
        <tr r="C10" s="4"/>
        <tr r="C15" s="4"/>
        <tr r="C15" s="4"/>
        <tr r="B15" s="4"/>
        <tr r="B15" s="4"/>
        <tr r="C7" s="4"/>
        <tr r="C7" s="4"/>
        <tr r="B4" s="4"/>
        <tr r="B4" s="4"/>
        <tr r="A3" s="4"/>
        <tr r="A12" s="4"/>
        <tr r="B5" s="4"/>
        <tr r="B5" s="4"/>
        <tr r="C4" s="4"/>
        <tr r="C4" s="4"/>
        <tr r="A4" s="4"/>
        <tr r="C11" s="4"/>
        <tr r="C11" s="4"/>
        <tr r="A16" s="4"/>
        <tr r="B11" s="4"/>
        <tr r="B11" s="4"/>
        <tr r="B14" s="4"/>
        <tr r="B14" s="4"/>
        <tr r="C14" s="4"/>
        <tr r="C14" s="4"/>
        <tr r="A11" s="4"/>
        <tr r="A10" s="4"/>
        <tr r="B1" s="4"/>
        <tr r="A15" s="4"/>
        <tr r="A9" s="4"/>
        <tr r="A13" s="4"/>
        <tr r="C5" s="4"/>
        <tr r="C5" s="4"/>
        <tr r="A5" s="4"/>
        <tr r="A7" s="4"/>
        <tr r="A8" s="4"/>
        <tr r="A2" s="4"/>
        <tr r="A14" s="4"/>
        <tr r="C1" s="4"/>
      </tp>
    </main>
  </volType>
</volTypes>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volatileDependencies" Target="volatileDependencies.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[PP_SampleData_IMPORTWITHPP.xlsx]PTC_YearType!PivotTable2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PROFIT 2021 - 2022</a:t>
            </a:r>
          </a:p>
        </c:rich>
      </c:tx>
      <c:layout>
        <c:manualLayout>
          <c:xMode val="edge"/>
          <c:yMode val="edge"/>
          <c:x val="2.1188575228314958E-2"/>
          <c:y val="1.1659378789871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2684623508087"/>
          <c:y val="7.8304037750993288E-2"/>
          <c:w val="0.77599953929417664"/>
          <c:h val="0.86564404479345969"/>
        </c:manualLayout>
      </c:layout>
      <c:barChart>
        <c:barDir val="bar"/>
        <c:grouping val="clustered"/>
        <c:varyColors val="0"/>
        <c:ser>
          <c:idx val="0"/>
          <c:order val="0"/>
          <c:tx>
            <c:strRef>
              <c:f>PTC_YearType!$B$3:$B$5</c:f>
              <c:strCache>
                <c:ptCount val="1"/>
                <c:pt idx="0">
                  <c:v>SA - Global Profit</c:v>
                </c:pt>
              </c:strCache>
            </c:strRef>
          </c:tx>
          <c:spPr>
            <a:solidFill>
              <a:schemeClr val="accent1"/>
            </a:solidFill>
            <a:ln>
              <a:noFill/>
            </a:ln>
            <a:effectLst/>
          </c:spPr>
          <c:invertIfNegative val="0"/>
          <c:cat>
            <c:strRef>
              <c:f>PTC_YearType!$A$6:$A$8</c:f>
              <c:strCache>
                <c:ptCount val="2"/>
                <c:pt idx="0">
                  <c:v>2021</c:v>
                </c:pt>
                <c:pt idx="1">
                  <c:v>2022</c:v>
                </c:pt>
              </c:strCache>
            </c:strRef>
          </c:cat>
          <c:val>
            <c:numRef>
              <c:f>PTC_YearType!$B$6:$B$8</c:f>
              <c:numCache>
                <c:formatCode>"CHF"#,##0_);\("CHF"#,##0\)</c:formatCode>
                <c:ptCount val="2"/>
                <c:pt idx="0">
                  <c:v>1043905</c:v>
                </c:pt>
                <c:pt idx="1">
                  <c:v>983740</c:v>
                </c:pt>
              </c:numCache>
            </c:numRef>
          </c:val>
          <c:extLst>
            <c:ext xmlns:c16="http://schemas.microsoft.com/office/drawing/2014/chart" uri="{C3380CC4-5D6E-409C-BE32-E72D297353CC}">
              <c16:uniqueId val="{00000000-A70A-4166-AED2-D4D2019A4CA8}"/>
            </c:ext>
          </c:extLst>
        </c:ser>
        <c:ser>
          <c:idx val="1"/>
          <c:order val="1"/>
          <c:tx>
            <c:strRef>
              <c:f>PTC_YearType!$C$3:$C$5</c:f>
              <c:strCache>
                <c:ptCount val="1"/>
                <c:pt idx="0">
                  <c:v>SA - Profit LY</c:v>
                </c:pt>
              </c:strCache>
            </c:strRef>
          </c:tx>
          <c:spPr>
            <a:solidFill>
              <a:schemeClr val="accent2"/>
            </a:solidFill>
            <a:ln>
              <a:noFill/>
            </a:ln>
            <a:effectLst/>
          </c:spPr>
          <c:invertIfNegative val="0"/>
          <c:cat>
            <c:strRef>
              <c:f>PTC_YearType!$A$6:$A$8</c:f>
              <c:strCache>
                <c:ptCount val="2"/>
                <c:pt idx="0">
                  <c:v>2021</c:v>
                </c:pt>
                <c:pt idx="1">
                  <c:v>2022</c:v>
                </c:pt>
              </c:strCache>
            </c:strRef>
          </c:cat>
          <c:val>
            <c:numRef>
              <c:f>PTC_YearType!$C$6:$C$8</c:f>
              <c:numCache>
                <c:formatCode>"CHF"#,##0_);\("CHF"#,##0\)</c:formatCode>
                <c:ptCount val="2"/>
                <c:pt idx="0">
                  <c:v>1089680</c:v>
                </c:pt>
                <c:pt idx="1">
                  <c:v>1043905</c:v>
                </c:pt>
              </c:numCache>
            </c:numRef>
          </c:val>
          <c:extLst>
            <c:ext xmlns:c16="http://schemas.microsoft.com/office/drawing/2014/chart" uri="{C3380CC4-5D6E-409C-BE32-E72D297353CC}">
              <c16:uniqueId val="{00000004-A70A-4166-AED2-D4D2019A4CA8}"/>
            </c:ext>
          </c:extLst>
        </c:ser>
        <c:ser>
          <c:idx val="2"/>
          <c:order val="2"/>
          <c:tx>
            <c:strRef>
              <c:f>PTC_YearType!$D$3:$D$5</c:f>
              <c:strCache>
                <c:ptCount val="1"/>
                <c:pt idx="0">
                  <c:v>Sàrl - Global Profit</c:v>
                </c:pt>
              </c:strCache>
            </c:strRef>
          </c:tx>
          <c:spPr>
            <a:solidFill>
              <a:schemeClr val="accent3"/>
            </a:solidFill>
            <a:ln>
              <a:noFill/>
            </a:ln>
            <a:effectLst/>
          </c:spPr>
          <c:invertIfNegative val="0"/>
          <c:cat>
            <c:strRef>
              <c:f>PTC_YearType!$A$6:$A$8</c:f>
              <c:strCache>
                <c:ptCount val="2"/>
                <c:pt idx="0">
                  <c:v>2021</c:v>
                </c:pt>
                <c:pt idx="1">
                  <c:v>2022</c:v>
                </c:pt>
              </c:strCache>
            </c:strRef>
          </c:cat>
          <c:val>
            <c:numRef>
              <c:f>PTC_YearType!$D$6:$D$8</c:f>
              <c:numCache>
                <c:formatCode>"CHF"#,##0_);\("CHF"#,##0\)</c:formatCode>
                <c:ptCount val="2"/>
                <c:pt idx="0">
                  <c:v>695555</c:v>
                </c:pt>
                <c:pt idx="1">
                  <c:v>642060</c:v>
                </c:pt>
              </c:numCache>
            </c:numRef>
          </c:val>
          <c:extLst>
            <c:ext xmlns:c16="http://schemas.microsoft.com/office/drawing/2014/chart" uri="{C3380CC4-5D6E-409C-BE32-E72D297353CC}">
              <c16:uniqueId val="{00000008-A70A-4166-AED2-D4D2019A4CA8}"/>
            </c:ext>
          </c:extLst>
        </c:ser>
        <c:ser>
          <c:idx val="3"/>
          <c:order val="3"/>
          <c:tx>
            <c:strRef>
              <c:f>PTC_YearType!$E$3:$E$5</c:f>
              <c:strCache>
                <c:ptCount val="1"/>
                <c:pt idx="0">
                  <c:v>Sàrl - Profit LY</c:v>
                </c:pt>
              </c:strCache>
            </c:strRef>
          </c:tx>
          <c:spPr>
            <a:solidFill>
              <a:schemeClr val="accent4"/>
            </a:solidFill>
            <a:ln>
              <a:noFill/>
            </a:ln>
            <a:effectLst/>
          </c:spPr>
          <c:invertIfNegative val="0"/>
          <c:cat>
            <c:strRef>
              <c:f>PTC_YearType!$A$6:$A$8</c:f>
              <c:strCache>
                <c:ptCount val="2"/>
                <c:pt idx="0">
                  <c:v>2021</c:v>
                </c:pt>
                <c:pt idx="1">
                  <c:v>2022</c:v>
                </c:pt>
              </c:strCache>
            </c:strRef>
          </c:cat>
          <c:val>
            <c:numRef>
              <c:f>PTC_YearType!$E$6:$E$8</c:f>
              <c:numCache>
                <c:formatCode>"CHF"#,##0_);\("CHF"#,##0\)</c:formatCode>
                <c:ptCount val="2"/>
                <c:pt idx="0">
                  <c:v>747845</c:v>
                </c:pt>
                <c:pt idx="1">
                  <c:v>695555</c:v>
                </c:pt>
              </c:numCache>
            </c:numRef>
          </c:val>
          <c:extLst>
            <c:ext xmlns:c16="http://schemas.microsoft.com/office/drawing/2014/chart" uri="{C3380CC4-5D6E-409C-BE32-E72D297353CC}">
              <c16:uniqueId val="{00000009-A70A-4166-AED2-D4D2019A4CA8}"/>
            </c:ext>
          </c:extLst>
        </c:ser>
        <c:dLbls>
          <c:showLegendKey val="0"/>
          <c:showVal val="0"/>
          <c:showCatName val="0"/>
          <c:showSerName val="0"/>
          <c:showPercent val="0"/>
          <c:showBubbleSize val="0"/>
        </c:dLbls>
        <c:gapWidth val="219"/>
        <c:axId val="2084318415"/>
        <c:axId val="2084321295"/>
      </c:barChart>
      <c:catAx>
        <c:axId val="2084318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21295"/>
        <c:crosses val="autoZero"/>
        <c:auto val="1"/>
        <c:lblAlgn val="ctr"/>
        <c:lblOffset val="100"/>
        <c:noMultiLvlLbl val="0"/>
      </c:catAx>
      <c:valAx>
        <c:axId val="2084321295"/>
        <c:scaling>
          <c:orientation val="minMax"/>
        </c:scaling>
        <c:delete val="0"/>
        <c:axPos val="b"/>
        <c:majorGridlines>
          <c:spPr>
            <a:ln w="9525" cap="flat" cmpd="sng" algn="ctr">
              <a:solidFill>
                <a:schemeClr val="tx1">
                  <a:lumMod val="15000"/>
                  <a:lumOff val="85000"/>
                </a:schemeClr>
              </a:solidFill>
              <a:round/>
            </a:ln>
            <a:effectLst/>
          </c:spPr>
        </c:majorGridlines>
        <c:numFmt formatCode="&quot;CHF&quot;#,##0_);\(&quot;CHF&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18415"/>
        <c:crosses val="autoZero"/>
        <c:crossBetween val="between"/>
      </c:valAx>
      <c:spPr>
        <a:noFill/>
        <a:ln>
          <a:noFill/>
        </a:ln>
        <a:effectLst/>
      </c:spPr>
    </c:plotArea>
    <c:legend>
      <c:legendPos val="tr"/>
      <c:layout>
        <c:manualLayout>
          <c:xMode val="edge"/>
          <c:yMode val="edge"/>
          <c:x val="0.75624105264411268"/>
          <c:y val="2.0678806672417234E-2"/>
          <c:w val="0.15360990032084543"/>
          <c:h val="0.13660385247384083"/>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[PP_SampleData_IMPORTWITHPP.xlsx]PTC_YearCat!PivotTable2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PTC_YearCat!$B$1:$B$2</c:f>
              <c:strCache>
                <c:ptCount val="1"/>
                <c:pt idx="0">
                  <c:v>2020</c:v>
                </c:pt>
              </c:strCache>
            </c:strRef>
          </c:tx>
          <c:spPr>
            <a:solidFill>
              <a:schemeClr val="accent1"/>
            </a:solidFill>
            <a:ln>
              <a:noFill/>
            </a:ln>
            <a:effectLst/>
          </c:spPr>
          <c:invertIfNegative val="0"/>
          <c:cat>
            <c:strRef>
              <c:f>PTC_YearCat!$A$3:$A$13</c:f>
              <c:strCache>
                <c:ptCount val="10"/>
                <c:pt idx="0">
                  <c:v> Banking Services</c:v>
                </c:pt>
                <c:pt idx="1">
                  <c:v> Credit &amp; Debt</c:v>
                </c:pt>
                <c:pt idx="2">
                  <c:v> Estate Planning</c:v>
                </c:pt>
                <c:pt idx="3">
                  <c:v> Financial Advisory</c:v>
                </c:pt>
                <c:pt idx="4">
                  <c:v> Financial Technology</c:v>
                </c:pt>
                <c:pt idx="5">
                  <c:v> Insurance Services</c:v>
                </c:pt>
                <c:pt idx="6">
                  <c:v> Investment Services</c:v>
                </c:pt>
                <c:pt idx="7">
                  <c:v> Mortgage Services</c:v>
                </c:pt>
                <c:pt idx="8">
                  <c:v> Retirement Planning</c:v>
                </c:pt>
                <c:pt idx="9">
                  <c:v> Tax Services</c:v>
                </c:pt>
              </c:strCache>
            </c:strRef>
          </c:cat>
          <c:val>
            <c:numRef>
              <c:f>PTC_YearCat!$B$3:$B$13</c:f>
              <c:numCache>
                <c:formatCode>"CHF"#,##0_);\("CHF"#,##0\)</c:formatCode>
                <c:ptCount val="10"/>
                <c:pt idx="1">
                  <c:v>67400</c:v>
                </c:pt>
                <c:pt idx="2">
                  <c:v>256730</c:v>
                </c:pt>
                <c:pt idx="3">
                  <c:v>707070</c:v>
                </c:pt>
                <c:pt idx="4">
                  <c:v>157880</c:v>
                </c:pt>
                <c:pt idx="5">
                  <c:v>113400</c:v>
                </c:pt>
                <c:pt idx="7">
                  <c:v>264865</c:v>
                </c:pt>
                <c:pt idx="8">
                  <c:v>70100</c:v>
                </c:pt>
                <c:pt idx="9">
                  <c:v>200080</c:v>
                </c:pt>
              </c:numCache>
            </c:numRef>
          </c:val>
          <c:extLst>
            <c:ext xmlns:c16="http://schemas.microsoft.com/office/drawing/2014/chart" uri="{C3380CC4-5D6E-409C-BE32-E72D297353CC}">
              <c16:uniqueId val="{00000000-CC9C-4BDF-A704-B7D96DECB51E}"/>
            </c:ext>
          </c:extLst>
        </c:ser>
        <c:ser>
          <c:idx val="1"/>
          <c:order val="1"/>
          <c:tx>
            <c:strRef>
              <c:f>PTC_YearCat!$C$1:$C$2</c:f>
              <c:strCache>
                <c:ptCount val="1"/>
                <c:pt idx="0">
                  <c:v>2021</c:v>
                </c:pt>
              </c:strCache>
            </c:strRef>
          </c:tx>
          <c:spPr>
            <a:solidFill>
              <a:schemeClr val="accent2"/>
            </a:solidFill>
            <a:ln>
              <a:noFill/>
            </a:ln>
            <a:effectLst/>
          </c:spPr>
          <c:invertIfNegative val="0"/>
          <c:cat>
            <c:strRef>
              <c:f>PTC_YearCat!$A$3:$A$13</c:f>
              <c:strCache>
                <c:ptCount val="10"/>
                <c:pt idx="0">
                  <c:v> Banking Services</c:v>
                </c:pt>
                <c:pt idx="1">
                  <c:v> Credit &amp; Debt</c:v>
                </c:pt>
                <c:pt idx="2">
                  <c:v> Estate Planning</c:v>
                </c:pt>
                <c:pt idx="3">
                  <c:v> Financial Advisory</c:v>
                </c:pt>
                <c:pt idx="4">
                  <c:v> Financial Technology</c:v>
                </c:pt>
                <c:pt idx="5">
                  <c:v> Insurance Services</c:v>
                </c:pt>
                <c:pt idx="6">
                  <c:v> Investment Services</c:v>
                </c:pt>
                <c:pt idx="7">
                  <c:v> Mortgage Services</c:v>
                </c:pt>
                <c:pt idx="8">
                  <c:v> Retirement Planning</c:v>
                </c:pt>
                <c:pt idx="9">
                  <c:v> Tax Services</c:v>
                </c:pt>
              </c:strCache>
            </c:strRef>
          </c:cat>
          <c:val>
            <c:numRef>
              <c:f>PTC_YearCat!$C$3:$C$13</c:f>
              <c:numCache>
                <c:formatCode>"CHF"#,##0_);\("CHF"#,##0\)</c:formatCode>
                <c:ptCount val="10"/>
                <c:pt idx="0">
                  <c:v>132680</c:v>
                </c:pt>
                <c:pt idx="1">
                  <c:v>65640</c:v>
                </c:pt>
                <c:pt idx="2">
                  <c:v>388370</c:v>
                </c:pt>
                <c:pt idx="3">
                  <c:v>183500</c:v>
                </c:pt>
                <c:pt idx="4">
                  <c:v>219680</c:v>
                </c:pt>
                <c:pt idx="5">
                  <c:v>163250</c:v>
                </c:pt>
                <c:pt idx="6">
                  <c:v>153300</c:v>
                </c:pt>
                <c:pt idx="7">
                  <c:v>128200</c:v>
                </c:pt>
                <c:pt idx="8">
                  <c:v>101900</c:v>
                </c:pt>
                <c:pt idx="9">
                  <c:v>202940</c:v>
                </c:pt>
              </c:numCache>
            </c:numRef>
          </c:val>
          <c:extLst>
            <c:ext xmlns:c16="http://schemas.microsoft.com/office/drawing/2014/chart" uri="{C3380CC4-5D6E-409C-BE32-E72D297353CC}">
              <c16:uniqueId val="{00000002-CC9C-4BDF-A704-B7D96DECB51E}"/>
            </c:ext>
          </c:extLst>
        </c:ser>
        <c:ser>
          <c:idx val="2"/>
          <c:order val="2"/>
          <c:tx>
            <c:strRef>
              <c:f>PTC_YearCat!$D$1:$D$2</c:f>
              <c:strCache>
                <c:ptCount val="1"/>
                <c:pt idx="0">
                  <c:v>2022</c:v>
                </c:pt>
              </c:strCache>
            </c:strRef>
          </c:tx>
          <c:spPr>
            <a:solidFill>
              <a:schemeClr val="accent3"/>
            </a:solidFill>
            <a:ln>
              <a:noFill/>
            </a:ln>
            <a:effectLst/>
          </c:spPr>
          <c:invertIfNegative val="0"/>
          <c:cat>
            <c:strRef>
              <c:f>PTC_YearCat!$A$3:$A$13</c:f>
              <c:strCache>
                <c:ptCount val="10"/>
                <c:pt idx="0">
                  <c:v> Banking Services</c:v>
                </c:pt>
                <c:pt idx="1">
                  <c:v> Credit &amp; Debt</c:v>
                </c:pt>
                <c:pt idx="2">
                  <c:v> Estate Planning</c:v>
                </c:pt>
                <c:pt idx="3">
                  <c:v> Financial Advisory</c:v>
                </c:pt>
                <c:pt idx="4">
                  <c:v> Financial Technology</c:v>
                </c:pt>
                <c:pt idx="5">
                  <c:v> Insurance Services</c:v>
                </c:pt>
                <c:pt idx="6">
                  <c:v> Investment Services</c:v>
                </c:pt>
                <c:pt idx="7">
                  <c:v> Mortgage Services</c:v>
                </c:pt>
                <c:pt idx="8">
                  <c:v> Retirement Planning</c:v>
                </c:pt>
                <c:pt idx="9">
                  <c:v> Tax Services</c:v>
                </c:pt>
              </c:strCache>
            </c:strRef>
          </c:cat>
          <c:val>
            <c:numRef>
              <c:f>PTC_YearCat!$D$3:$D$13</c:f>
              <c:numCache>
                <c:formatCode>"CHF"#,##0_);\("CHF"#,##0\)</c:formatCode>
                <c:ptCount val="10"/>
                <c:pt idx="0">
                  <c:v>117000</c:v>
                </c:pt>
                <c:pt idx="1">
                  <c:v>61600</c:v>
                </c:pt>
                <c:pt idx="2">
                  <c:v>391620</c:v>
                </c:pt>
                <c:pt idx="3">
                  <c:v>151440</c:v>
                </c:pt>
                <c:pt idx="4">
                  <c:v>157240</c:v>
                </c:pt>
                <c:pt idx="5">
                  <c:v>169250</c:v>
                </c:pt>
                <c:pt idx="6">
                  <c:v>126600</c:v>
                </c:pt>
                <c:pt idx="7">
                  <c:v>88590</c:v>
                </c:pt>
                <c:pt idx="8">
                  <c:v>95000</c:v>
                </c:pt>
                <c:pt idx="9">
                  <c:v>267460</c:v>
                </c:pt>
              </c:numCache>
            </c:numRef>
          </c:val>
          <c:extLst>
            <c:ext xmlns:c16="http://schemas.microsoft.com/office/drawing/2014/chart" uri="{C3380CC4-5D6E-409C-BE32-E72D297353CC}">
              <c16:uniqueId val="{00000003-CC9C-4BDF-A704-B7D96DECB51E}"/>
            </c:ext>
          </c:extLst>
        </c:ser>
        <c:dLbls>
          <c:showLegendKey val="0"/>
          <c:showVal val="0"/>
          <c:showCatName val="0"/>
          <c:showSerName val="0"/>
          <c:showPercent val="0"/>
          <c:showBubbleSize val="0"/>
        </c:dLbls>
        <c:gapWidth val="219"/>
        <c:axId val="2084318415"/>
        <c:axId val="2084321295"/>
      </c:barChart>
      <c:catAx>
        <c:axId val="20843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21295"/>
        <c:crosses val="autoZero"/>
        <c:auto val="1"/>
        <c:lblAlgn val="ctr"/>
        <c:lblOffset val="100"/>
        <c:noMultiLvlLbl val="0"/>
      </c:catAx>
      <c:valAx>
        <c:axId val="2084321295"/>
        <c:scaling>
          <c:orientation val="minMax"/>
        </c:scaling>
        <c:delete val="0"/>
        <c:axPos val="l"/>
        <c:majorGridlines>
          <c:spPr>
            <a:ln w="9525" cap="flat" cmpd="sng" algn="ctr">
              <a:solidFill>
                <a:schemeClr val="tx1">
                  <a:lumMod val="15000"/>
                  <a:lumOff val="85000"/>
                </a:schemeClr>
              </a:solidFill>
              <a:round/>
            </a:ln>
            <a:effectLst/>
          </c:spPr>
        </c:majorGridlines>
        <c:numFmt formatCode="&quot;CHF&quot;#,##0_);\(&quot;CHF&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chartData>
  <cx:chart>
    <cx:title pos="t" align="ctr" overlay="0">
      <cx:tx>
        <cx:txData>
          <cx:v>Top 15 clients by Turnover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15 clients by Turnover</a:t>
          </a:r>
        </a:p>
      </cx:txPr>
    </cx:title>
    <cx:plotArea>
      <cx:plotAreaRegion>
        <cx:series layoutId="funnel" uniqueId="{A99754F6-7055-4C6E-B6CB-DAB4296BB6FD}" formatIdx="0">
          <cx:tx>
            <cx:txData>
              <cx:f>_xlchart.v2.1</cx:f>
              <cx:v>Turnover</cx:v>
            </cx:txData>
          </cx:tx>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Aptos Narrow" panose="02110004020202020204"/>
                </a:endParaRPr>
              </a:p>
            </cx:txPr>
            <cx:visibility seriesName="0" categoryName="0" value="1"/>
          </cx:dataLabels>
          <cx:dataId val="0"/>
        </cx:series>
        <cx:series layoutId="funnel" hidden="1" uniqueId="{B2593655-08E1-4889-BE6C-0C24117C5646}" formatIdx="1">
          <cx:tx>
            <cx:txData>
              <cx:f>_xlchart.v2.3</cx:f>
              <cx:v>NB invoices</cx:v>
            </cx:txData>
          </cx:tx>
          <cx:dataLabels>
            <cx:visibility seriesName="0" categoryName="0" value="1"/>
          </cx:dataLabels>
          <cx:dataId val="1"/>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171450</xdr:colOff>
      <xdr:row>0</xdr:row>
      <xdr:rowOff>90486</xdr:rowOff>
    </xdr:from>
    <xdr:to>
      <xdr:col>21</xdr:col>
      <xdr:colOff>47624</xdr:colOff>
      <xdr:row>40</xdr:row>
      <xdr:rowOff>95249</xdr:rowOff>
    </xdr:to>
    <xdr:graphicFrame macro="">
      <xdr:nvGraphicFramePr>
        <xdr:cNvPr id="3" name="Chart 2">
          <a:extLst>
            <a:ext uri="{FF2B5EF4-FFF2-40B4-BE49-F238E27FC236}">
              <a16:creationId xmlns:a16="http://schemas.microsoft.com/office/drawing/2014/main" id="{AB77B14F-99C6-4736-B62E-A2C188177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21</xdr:row>
      <xdr:rowOff>28575</xdr:rowOff>
    </xdr:from>
    <xdr:to>
      <xdr:col>0</xdr:col>
      <xdr:colOff>2276475</xdr:colOff>
      <xdr:row>24</xdr:row>
      <xdr:rowOff>133350</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746DCBA3-74C9-7973-7C54-C215FA19E42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47675" y="4029075"/>
              <a:ext cx="182880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109537</xdr:colOff>
      <xdr:row>1</xdr:row>
      <xdr:rowOff>161925</xdr:rowOff>
    </xdr:from>
    <xdr:to>
      <xdr:col>16</xdr:col>
      <xdr:colOff>133350</xdr:colOff>
      <xdr:row>28</xdr:row>
      <xdr:rowOff>85725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1A22FE3-8584-1D77-03FB-1C8A8F7316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05487" y="352425"/>
              <a:ext cx="7710488" cy="5067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257173</xdr:colOff>
      <xdr:row>0</xdr:row>
      <xdr:rowOff>38100</xdr:rowOff>
    </xdr:from>
    <xdr:to>
      <xdr:col>18</xdr:col>
      <xdr:colOff>581024</xdr:colOff>
      <xdr:row>5</xdr:row>
      <xdr:rowOff>85725</xdr:rowOff>
    </xdr:to>
    <mc:AlternateContent xmlns:mc="http://schemas.openxmlformats.org/markup-compatibility/2006" xmlns:a14="http://schemas.microsoft.com/office/drawing/2010/main">
      <mc:Choice Requires="a14">
        <xdr:graphicFrame macro="">
          <xdr:nvGraphicFramePr>
            <xdr:cNvPr id="2" name="Canton">
              <a:extLst>
                <a:ext uri="{FF2B5EF4-FFF2-40B4-BE49-F238E27FC236}">
                  <a16:creationId xmlns:a16="http://schemas.microsoft.com/office/drawing/2014/main" id="{BDF1FCDC-1ABC-14E5-373A-199A0EE36064}"/>
                </a:ext>
              </a:extLst>
            </xdr:cNvPr>
            <xdr:cNvGraphicFramePr/>
          </xdr:nvGraphicFramePr>
          <xdr:xfrm>
            <a:off x="0" y="0"/>
            <a:ext cx="0" cy="0"/>
          </xdr:xfrm>
          <a:graphic>
            <a:graphicData uri="http://schemas.microsoft.com/office/drawing/2010/slicer">
              <sle:slicer xmlns:sle="http://schemas.microsoft.com/office/drawing/2010/slicer" name="Canton"/>
            </a:graphicData>
          </a:graphic>
        </xdr:graphicFrame>
      </mc:Choice>
      <mc:Fallback xmlns="">
        <xdr:sp macro="" textlink="">
          <xdr:nvSpPr>
            <xdr:cNvPr id="0" name=""/>
            <xdr:cNvSpPr>
              <a:spLocks noTextEdit="1"/>
            </xdr:cNvSpPr>
          </xdr:nvSpPr>
          <xdr:spPr>
            <a:xfrm>
              <a:off x="5524498" y="38100"/>
              <a:ext cx="8896351"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252411</xdr:colOff>
      <xdr:row>6</xdr:row>
      <xdr:rowOff>23812</xdr:rowOff>
    </xdr:from>
    <xdr:to>
      <xdr:col>21</xdr:col>
      <xdr:colOff>523874</xdr:colOff>
      <xdr:row>36</xdr:row>
      <xdr:rowOff>76200</xdr:rowOff>
    </xdr:to>
    <xdr:graphicFrame macro="">
      <xdr:nvGraphicFramePr>
        <xdr:cNvPr id="3" name="Chart 2">
          <a:extLst>
            <a:ext uri="{FF2B5EF4-FFF2-40B4-BE49-F238E27FC236}">
              <a16:creationId xmlns:a16="http://schemas.microsoft.com/office/drawing/2014/main" id="{DB929FB7-8E0A-C221-1F0A-0E6A35873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7.997978587962" createdVersion="5" refreshedVersion="8" minRefreshableVersion="3" recordCount="0" supportSubquery="1" supportAdvancedDrill="1" xr:uid="{36FBFE56-ACC8-4296-8EF2-3B7A0D8B5A43}">
  <cacheSource type="external" connectionId="5"/>
  <cacheFields count="6">
    <cacheField name="[Measures].[Global Profit]" caption="Global Profit" numFmtId="0" hierarchy="39" level="32767"/>
    <cacheField name="[Calendar].[Year].[Year]" caption="Year" numFmtId="0" hierarchy="2"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SERVICES].[hr_services].[CatName]" caption="CatName" numFmtId="0" hierarchy="29" level="1">
      <sharedItems count="10">
        <s v=" Banking Services"/>
        <s v=" Credit &amp; Debt"/>
        <s v=" Estate Planning"/>
        <s v=" Financial Advisory"/>
        <s v=" Financial Technology"/>
        <s v=" Insurance Services"/>
        <s v=" Investment Services"/>
        <s v=" Mortgage Services"/>
        <s v=" Retirement Planning"/>
        <s v=" Tax Services"/>
      </sharedItems>
      <extLst>
        <ext xmlns:x15="http://schemas.microsoft.com/office/spreadsheetml/2010/11/main" uri="{4F2E5C28-24EA-4eb8-9CBF-B6C8F9C3D259}">
          <x15:cachedUniqueNames>
            <x15:cachedUniqueName index="0" name="[SERVICES].[hr_services].[CatName].&amp;[ Banking Services]"/>
            <x15:cachedUniqueName index="1" name="[SERVICES].[hr_services].[CatName].&amp;[ Credit &amp; Debt]"/>
            <x15:cachedUniqueName index="2" name="[SERVICES].[hr_services].[CatName].&amp;[ Estate Planning]"/>
            <x15:cachedUniqueName index="3" name="[SERVICES].[hr_services].[CatName].&amp;[ Financial Advisory]"/>
            <x15:cachedUniqueName index="4" name="[SERVICES].[hr_services].[CatName].&amp;[ Financial Technology]"/>
            <x15:cachedUniqueName index="5" name="[SERVICES].[hr_services].[CatName].&amp;[ Insurance Services]"/>
            <x15:cachedUniqueName index="6" name="[SERVICES].[hr_services].[CatName].&amp;[ Investment Services]"/>
            <x15:cachedUniqueName index="7" name="[SERVICES].[hr_services].[CatName].&amp;[ Mortgage Services]"/>
            <x15:cachedUniqueName index="8" name="[SERVICES].[hr_services].[CatName].&amp;[ Retirement Planning]"/>
            <x15:cachedUniqueName index="9" name="[SERVICES].[hr_services].[CatName].&amp;[ Tax Services]"/>
          </x15:cachedUniqueNames>
        </ext>
      </extLst>
    </cacheField>
    <cacheField name="[SERVICES].[hr_services].[SubCatName]" caption="SubCatName" numFmtId="0" hierarchy="29" level="2">
      <sharedItems containsSemiMixedTypes="0" containsNonDate="0" containsString="0"/>
    </cacheField>
    <cacheField name="[SERVICES].[hr_services].[Description]" caption="Description" numFmtId="0" hierarchy="29" level="3">
      <sharedItems containsSemiMixedTypes="0" containsNonDate="0" containsString="0"/>
    </cacheField>
    <cacheField name="[CLIENTS].[Canton].[Canton]" caption="Canton" numFmtId="0" hierarchy="13"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IENTS].[clientID]" caption="clientID" attribute="1" defaultMemberUniqueName="[CLIENTS].[clientID].[All]" allUniqueName="[CLIENTS].[clientID].[All]" dimensionUniqueName="[CLIENTS]" displayFolder="" count="0" memberValueDatatype="5" unbalanced="0"/>
    <cacheHierarchy uniqueName="[CLIENTS].[Client Name]" caption="Client Name" attribute="1" defaultMemberUniqueName="[CLIENTS].[Client Name].[All]" allUniqueName="[CLIENTS].[Client Name].[All]" dimensionUniqueName="[CLIENTS]" displayFolder="" count="0" memberValueDatatype="130" unbalanced="0"/>
    <cacheHierarchy uniqueName="[CLIENTS].[IDE]" caption="IDE" attribute="1" defaultMemberUniqueName="[CLIENTS].[IDE].[All]" allUniqueName="[CLIENTS].[IDE].[All]" dimensionUniqueName="[CLIENTS]" displayFolder="" count="0" memberValueDatatype="130" unbalanced="0"/>
    <cacheHierarchy uniqueName="[CLIENTS].[Type]" caption="Type" attribute="1" defaultMemberUniqueName="[CLIENTS].[Type].[All]" allUniqueName="[CLIENTS].[Type].[All]" dimensionUniqueName="[CLIENTS]" displayFolder="" count="0" memberValueDatatype="130" unbalanced="0"/>
    <cacheHierarchy uniqueName="[CLIENTS].[Location]" caption="Location" attribute="1" defaultMemberUniqueName="[CLIENTS].[Location].[All]" allUniqueName="[CLIENTS].[Location].[All]" dimensionUniqueName="[CLIENTS]" displayFolder="" count="0" memberValueDatatype="130" unbalanced="0"/>
    <cacheHierarchy uniqueName="[CLIENTS].[Canton]" caption="Canton" attribute="1" defaultMemberUniqueName="[CLIENTS].[Canton].[All]" allUniqueName="[CLIENTS].[Canton].[All]" dimensionUniqueName="[CLIENTS]" displayFolder="" count="2" memberValueDatatype="130" unbalanced="0">
      <fieldsUsage count="2">
        <fieldUsage x="-1"/>
        <fieldUsage x="5"/>
      </fieldsUsage>
    </cacheHierarchy>
    <cacheHierarchy uniqueName="[dimCat].[catid]" caption="catid" attribute="1" defaultMemberUniqueName="[dimCat].[catid].[All]" allUniqueName="[dimCat].[catid].[All]" dimensionUniqueName="[dimCat]" displayFolder="" count="0" memberValueDatatype="20" unbalanced="0"/>
    <cacheHierarchy uniqueName="[dimCat].[Category]" caption="Category" attribute="1" defaultMemberUniqueName="[dimCat].[Category].[All]" allUniqueName="[dimCat].[Category].[All]" dimensionUniqueName="[dimCat]" displayFolder="" count="0" memberValueDatatype="130" unbalanced="0"/>
    <cacheHierarchy uniqueName="[INVOICES].[lineNB]" caption="lineNB" attribute="1" defaultMemberUniqueName="[INVOICES].[lineNB].[All]" allUniqueName="[INVOICES].[lineNB].[All]" dimensionUniqueName="[INVOICES]" displayFolder="" count="0" memberValueDatatype="5" unbalanced="0"/>
    <cacheHierarchy uniqueName="[INVOICES].[invoiceID]" caption="invoiceID" attribute="1" defaultMemberUniqueName="[INVOICES].[invoiceID].[All]" allUniqueName="[INVOICES].[invoiceID].[All]" dimensionUniqueName="[INVOICES]" displayFolder="" count="0" memberValueDatatype="130" unbalanced="0"/>
    <cacheHierarchy uniqueName="[INVOICES].[clientID]" caption="clientID" attribute="1" defaultMemberUniqueName="[INVOICES].[clientID].[All]" allUniqueName="[INVOICES].[clientID].[All]" dimensionUniqueName="[INVOICES]" displayFolder="" count="0" memberValueDatatype="5" unbalanced="0"/>
    <cacheHierarchy uniqueName="[INVOICES].[serviceID]" caption="serviceID" attribute="1" defaultMemberUniqueName="[INVOICES].[serviceID].[All]" allUniqueName="[INVOICES].[serviceID].[All]" dimensionUniqueName="[INVOICES]" displayFolder="" count="0" memberValueDatatype="5" unbalanced="0"/>
    <cacheHierarchy uniqueName="[INVOICES].[NBHoursSold]" caption="NBHoursSold" attribute="1" defaultMemberUniqueName="[INVOICES].[NBHoursSold].[All]" allUniqueName="[INVOICES].[NBHoursSold].[All]" dimensionUniqueName="[INVOICES]" displayFolder="" count="0" memberValueDatatype="5" unbalanced="0"/>
    <cacheHierarchy uniqueName="[INVOICES].[date]" caption="date" attribute="1" time="1" defaultMemberUniqueName="[INVOICES].[date].[All]" allUniqueName="[INVOICES].[date].[All]" dimensionUniqueName="[INVOICES]" displayFolder="" count="0" memberValueDatatype="7" unbalanced="0"/>
    <cacheHierarchy uniqueName="[INVOICES].[Total sale]" caption="Total sale" attribute="1" defaultMemberUniqueName="[INVOICES].[Total sale].[All]" allUniqueName="[INVOICES].[Total sale].[All]" dimensionUniqueName="[INVOICES]" displayFolder="" count="0" memberValueDatatype="5" unbalanced="0"/>
    <cacheHierarchy uniqueName="[INVOICES].[Total Cost]" caption="Total Cost" attribute="1" defaultMemberUniqueName="[INVOICES].[Total Cost].[All]" allUniqueName="[INVOICES].[Total Cost].[All]" dimensionUniqueName="[INVOICES]" displayFolder="" count="0" memberValueDatatype="5" unbalanced="0"/>
    <cacheHierarchy uniqueName="[INVOICES].[Profit]" caption="Profit" attribute="1" defaultMemberUniqueName="[INVOICES].[Profit].[All]" allUniqueName="[INVOICES].[Profit].[All]" dimensionUniqueName="[INVOICES]" displayFolder="" count="0" memberValueDatatype="5" unbalanced="0"/>
    <cacheHierarchy uniqueName="[INVOICES].[Profit %]" caption="Profit %" attribute="1" defaultMemberUniqueName="[INVOICES].[Profit %].[All]" allUniqueName="[INVOICES].[Profit %].[All]" dimensionUniqueName="[INVOICES]" displayFolder="" count="0" memberValueDatatype="5" unbalanced="0"/>
    <cacheHierarchy uniqueName="[SERVICES].[lineNB]" caption="lineNB" attribute="1" defaultMemberUniqueName="[SERVICES].[lineNB].[All]" allUniqueName="[SERVICES].[lineNB].[All]" dimensionUniqueName="[SERVICES]" displayFolder="" count="0" memberValueDatatype="5" unbalanced="0"/>
    <cacheHierarchy uniqueName="[SERVICES].[Subcategory]" caption="Subcategory" attribute="1" defaultMemberUniqueName="[SERVICES].[Subcategory].[All]" allUniqueName="[SERVICES].[Subcategory].[All]" dimensionUniqueName="[SERVICES]" displayFolder="" count="0" memberValueDatatype="5" unbalanced="0"/>
    <cacheHierarchy uniqueName="[SERVICES].[Reference]" caption="Reference" attribute="1" defaultMemberUniqueName="[SERVICES].[Reference].[All]" allUniqueName="[SERVICES].[Reference].[All]" dimensionUniqueName="[SERVICES]" displayFolder="" count="0" memberValueDatatype="130" unbalanced="0"/>
    <cacheHierarchy uniqueName="[SERVICES].[hr_services]" caption="hr_services" defaultMemberUniqueName="[SERVICES].[hr_services].[All]" allUniqueName="[SERVICES].[hr_services].[All]" dimensionUniqueName="[SERVICES]" displayFolder="" count="4" unbalanced="0">
      <fieldsUsage count="4">
        <fieldUsage x="-1"/>
        <fieldUsage x="2"/>
        <fieldUsage x="3"/>
        <fieldUsage x="4"/>
      </fieldsUsage>
    </cacheHierarchy>
    <cacheHierarchy uniqueName="[SERVICES].[Description]" caption="Description" attribute="1" defaultMemberUniqueName="[SERVICES].[Description].[All]" allUniqueName="[SERVICES].[Description].[All]" dimensionUniqueName="[SERVICES]" displayFolder="" count="0" memberValueDatatype="130" unbalanced="0"/>
    <cacheHierarchy uniqueName="[SERVICES].[Rate per hour]" caption="Rate per hour" attribute="1" defaultMemberUniqueName="[SERVICES].[Rate per hour].[All]" allUniqueName="[SERVICES].[Rate per hour].[All]" dimensionUniqueName="[SERVICES]" displayFolder="" count="0"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0" memberValueDatatype="5" unbalanced="0"/>
    <cacheHierarchy uniqueName="[SERVICES].[SubCatName]" caption="SubCatName" attribute="1" defaultMemberUniqueName="[SERVICES].[SubCatName].[All]" allUniqueName="[SERVICES].[SubCatName].[All]" dimensionUniqueName="[SERVICES]" displayFolder="" count="0" memberValueDatatype="130" unbalanced="0"/>
    <cacheHierarchy uniqueName="[SERVICES].[CatName]" caption="CatName" attribute="1" defaultMemberUniqueName="[SERVICES].[CatName].[All]" allUniqueName="[SERVICES].[CatName].[All]" dimensionUniqueName="[SERVICES]" displayFolder="" count="0" memberValueDatatype="130" unbalanced="0"/>
    <cacheHierarchy uniqueName="[SUBCAT].[CATID]" caption="CATID" attribute="1" defaultMemberUniqueName="[SUBCAT].[CATID].[All]" allUniqueName="[SUBCAT].[CATID].[All]" dimensionUniqueName="[SUBCAT]" displayFolder="" count="0" memberValueDatatype="5" unbalanced="0"/>
    <cacheHierarchy uniqueName="[SUBCAT].[SUBCATID]" caption="SUBCATID" attribute="1" defaultMemberUniqueName="[SUBCAT].[SUBCATID].[All]" allUniqueName="[SUBCAT].[SUBCATID].[All]" dimensionUniqueName="[SUBCAT]" displayFolder="" count="0" memberValueDatatype="5" unbalanced="0"/>
    <cacheHierarchy uniqueName="[SUBCAT].[Subcategory]" caption="Subcategory" attribute="1" defaultMemberUniqueName="[SUBCAT].[Subcategory].[All]" allUniqueName="[SUBCAT].[Subcategory].[All]" dimensionUniqueName="[SUBCAT]" displayFolder="" count="0" memberValueDatatype="130" unbalanced="0"/>
    <cacheHierarchy uniqueName="[Measures].[Global Costs]" caption="Global Costs" measure="1" displayFolder="" measureGroup="INVOICES" count="0"/>
    <cacheHierarchy uniqueName="[Measures].[Global Profit]" caption="Global Profit" measure="1" displayFolder="" measureGroup="INVOICES" count="0" oneField="1">
      <fieldsUsage count="1">
        <fieldUsage x="0"/>
      </fieldsUsage>
    </cacheHierarchy>
    <cacheHierarchy uniqueName="[Measures].[AVG Profit %]" caption="AVG Profit %" measure="1" displayFolder="" measureGroup="INVOICES" count="0"/>
    <cacheHierarchy uniqueName="[Measures].[NB invoices]" caption="NB invoices" measure="1" displayFolder="" measureGroup="INVOICES" count="0"/>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cacheHierarchy uniqueName="[Measures].[Turnover LY]" caption="Turnover LY" measure="1" displayFolder="" measureGroup="INVOICES" count="0"/>
    <cacheHierarchy uniqueName="[Measures].[Turnover]" caption="Turnover" measure="1" displayFolder="" measureGroup="INVOICES" count="0"/>
    <cacheHierarchy uniqueName="[Measures].[Turnover comp]" caption="Turnover comp" measure="1" displayFolder="" measureGroup="INVOICES" count="0"/>
    <cacheHierarchy uniqueName="[Measures].[Profit LY]" caption="Profit LY" measure="1" displayFolder="" measureGroup="INVOICES" count="0"/>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hidden="1"/>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hidden="1"/>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dimensions count="7">
    <dimension name="Calendar" uniqueName="[Calendar]" caption="Calendar"/>
    <dimension name="CLIENTS" uniqueName="[CLIENTS]" caption="CLIENTS"/>
    <dimension name="dimCat" uniqueName="[dimCat]" caption="dimCat"/>
    <dimension name="INVOICES" uniqueName="[INVOICES]" caption="INVOICES"/>
    <dimension measure="1" name="Measures" uniqueName="[Measures]" caption="Measures"/>
    <dimension name="SERVICES" uniqueName="[SERVICES]" caption="SERVICES"/>
    <dimension name="SUBCAT" uniqueName="[SUBCAT]" caption="SUBCAT"/>
  </dimensions>
  <measureGroups count="6">
    <measureGroup name="Calendar" caption="Calendar"/>
    <measureGroup name="CLIENTS" caption="CLIENTS"/>
    <measureGroup name="dimCat" caption="dimCat"/>
    <measureGroup name="INVOICES" caption="INVOICES"/>
    <measureGroup name="SERVICES" caption="SERVICES"/>
    <measureGroup name="SUBCAT" caption="SUBCAT"/>
  </measureGroups>
  <maps count="14">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2"/>
    <map measureGroup="4" dimension="5"/>
    <map measureGroup="4" dimension="6"/>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7.997980555556" createdVersion="5" refreshedVersion="8" minRefreshableVersion="3" recordCount="0" supportSubquery="1" supportAdvancedDrill="1" xr:uid="{E272C55E-AFA3-45BE-8B21-B2A5AAF07B7F}">
  <cacheSource type="external" connectionId="5"/>
  <cacheFields count="11">
    <cacheField name="[Calendar].[Date Hierarchy].[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Date Hierarchy].[Year].&amp;[2020]"/>
            <x15:cachedUniqueName index="1" name="[Calendar].[Date Hierarchy].[Year].&amp;[2021]"/>
            <x15:cachedUniqueName index="2" name="[Calendar].[Date Hierarchy].[Year].&amp;[2022]"/>
          </x15:cachedUniqueNames>
        </ext>
      </extLst>
    </cacheField>
    <cacheField name="[Calendar].[Date Hierarchy].[Month]" caption="Month" numFmtId="0" hierarchy="1" level="2">
      <sharedItems count="33">
        <s v="janvier"/>
        <s v="février"/>
        <s v="mars"/>
        <s v="avril"/>
        <s v="mai"/>
        <s v="juin"/>
        <s v="juillet"/>
        <s v="août"/>
        <s v="septembre"/>
        <s v="octobre"/>
        <s v="novembre"/>
        <s v="janvier"/>
        <s v="février"/>
        <s v="mars"/>
        <s v="avril"/>
        <s v="mai"/>
        <s v="juin"/>
        <s v="juillet"/>
        <s v="août"/>
        <s v="septembre"/>
        <s v="octobre"/>
        <s v="novembre"/>
        <s v="janvier"/>
        <s v="février"/>
        <s v="mars"/>
        <s v="avril"/>
        <s v="mai"/>
        <s v="juin"/>
        <s v="juillet"/>
        <s v="août"/>
        <s v="septembre"/>
        <s v="octobre"/>
        <s v="novembre"/>
      </sharedItems>
      <extLst>
        <ext xmlns:x15="http://schemas.microsoft.com/office/spreadsheetml/2010/11/main" uri="{4F2E5C28-24EA-4eb8-9CBF-B6C8F9C3D259}">
          <x15:cachedUniqueNames>
            <x15:cachedUniqueName index="0" name="[Calendar].[Date Hierarchy].[Year].&amp;[2020].&amp;[janvier]"/>
            <x15:cachedUniqueName index="1" name="[Calendar].[Date Hierarchy].[Year].&amp;[2020].&amp;[février]"/>
            <x15:cachedUniqueName index="2" name="[Calendar].[Date Hierarchy].[Year].&amp;[2020].&amp;[mars]"/>
            <x15:cachedUniqueName index="3" name="[Calendar].[Date Hierarchy].[Year].&amp;[2020].&amp;[avril]"/>
            <x15:cachedUniqueName index="4" name="[Calendar].[Date Hierarchy].[Year].&amp;[2020].&amp;[mai]"/>
            <x15:cachedUniqueName index="5" name="[Calendar].[Date Hierarchy].[Year].&amp;[2020].&amp;[juin]"/>
            <x15:cachedUniqueName index="6" name="[Calendar].[Date Hierarchy].[Year].&amp;[2020].&amp;[juillet]"/>
            <x15:cachedUniqueName index="7" name="[Calendar].[Date Hierarchy].[Year].&amp;[2020].&amp;[août]"/>
            <x15:cachedUniqueName index="8" name="[Calendar].[Date Hierarchy].[Year].&amp;[2020].&amp;[septembre]"/>
            <x15:cachedUniqueName index="9" name="[Calendar].[Date Hierarchy].[Year].&amp;[2020].&amp;[octobre]"/>
            <x15:cachedUniqueName index="10" name="[Calendar].[Date Hierarchy].[Year].&amp;[2020].&amp;[novembre]"/>
            <x15:cachedUniqueName index="11" name="[Calendar].[Date Hierarchy].[Year].&amp;[2021].&amp;[janvier]"/>
            <x15:cachedUniqueName index="12" name="[Calendar].[Date Hierarchy].[Year].&amp;[2021].&amp;[février]"/>
            <x15:cachedUniqueName index="13" name="[Calendar].[Date Hierarchy].[Year].&amp;[2021].&amp;[mars]"/>
            <x15:cachedUniqueName index="14" name="[Calendar].[Date Hierarchy].[Year].&amp;[2021].&amp;[avril]"/>
            <x15:cachedUniqueName index="15" name="[Calendar].[Date Hierarchy].[Year].&amp;[2021].&amp;[mai]"/>
            <x15:cachedUniqueName index="16" name="[Calendar].[Date Hierarchy].[Year].&amp;[2021].&amp;[juin]"/>
            <x15:cachedUniqueName index="17" name="[Calendar].[Date Hierarchy].[Year].&amp;[2021].&amp;[juillet]"/>
            <x15:cachedUniqueName index="18" name="[Calendar].[Date Hierarchy].[Year].&amp;[2021].&amp;[août]"/>
            <x15:cachedUniqueName index="19" name="[Calendar].[Date Hierarchy].[Year].&amp;[2021].&amp;[septembre]"/>
            <x15:cachedUniqueName index="20" name="[Calendar].[Date Hierarchy].[Year].&amp;[2021].&amp;[octobre]"/>
            <x15:cachedUniqueName index="21" name="[Calendar].[Date Hierarchy].[Year].&amp;[2021].&amp;[novembre]"/>
            <x15:cachedUniqueName index="22" name="[Calendar].[Date Hierarchy].[Year].&amp;[2022].&amp;[janvier]"/>
            <x15:cachedUniqueName index="23" name="[Calendar].[Date Hierarchy].[Year].&amp;[2022].&amp;[février]"/>
            <x15:cachedUniqueName index="24" name="[Calendar].[Date Hierarchy].[Year].&amp;[2022].&amp;[mars]"/>
            <x15:cachedUniqueName index="25" name="[Calendar].[Date Hierarchy].[Year].&amp;[2022].&amp;[avril]"/>
            <x15:cachedUniqueName index="26" name="[Calendar].[Date Hierarchy].[Year].&amp;[2022].&amp;[mai]"/>
            <x15:cachedUniqueName index="27" name="[Calendar].[Date Hierarchy].[Year].&amp;[2022].&amp;[juin]"/>
            <x15:cachedUniqueName index="28" name="[Calendar].[Date Hierarchy].[Year].&amp;[2022].&amp;[juillet]"/>
            <x15:cachedUniqueName index="29" name="[Calendar].[Date Hierarchy].[Year].&amp;[2022].&amp;[août]"/>
            <x15:cachedUniqueName index="30" name="[Calendar].[Date Hierarchy].[Year].&amp;[2022].&amp;[septembre]"/>
            <x15:cachedUniqueName index="31" name="[Calendar].[Date Hierarchy].[Year].&amp;[2022].&amp;[octobre]"/>
            <x15:cachedUniqueName index="32" name="[Calendar].[Date Hierarchy].[Year].&amp;[2022].&amp;[novembre]"/>
          </x15:cachedUniqueNames>
        </ext>
      </extLst>
    </cacheField>
    <cacheField name="[Calendar].[Date Hierarchy].[DateColumn]" caption="DateColumn" numFmtId="0" hierarchy="1" level="3">
      <sharedItems containsSemiMixedTypes="0" containsNonDate="0" containsString="0"/>
    </cacheField>
    <cacheField name="[Measures].[Turnover]" caption="Turnover" numFmtId="0" hierarchy="49" level="32767"/>
    <cacheField name="[Measures].[Global Profit]" caption="Global Profit" numFmtId="0" hierarchy="39" level="32767"/>
    <cacheField name="[Measures].[NB invoices]" caption="NB invoices" numFmtId="0" hierarchy="41" level="32767"/>
    <cacheField name="[Measures].[% CY]" caption="% CY" numFmtId="0" hierarchy="47" level="32767"/>
    <cacheField name="[Measures].[_Turnover Status]" caption="_Turnover Status" numFmtId="0" hierarchy="60" level="32767"/>
    <cacheField name="[Measures].[Turnover LY]" caption="Turnover LY" numFmtId="0" hierarchy="48" level="32767"/>
    <cacheField name="[Measures].[_Turnover comp Status]" caption="_Turnover comp Status"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IENTS].[clientID]" caption="clientID" attribute="1" defaultMemberUniqueName="[CLIENTS].[clientID].[All]" allUniqueName="[CLIENTS].[clientID].[All]" dimensionUniqueName="[CLIENTS]" displayFolder="" count="0" memberValueDatatype="5" unbalanced="0"/>
    <cacheHierarchy uniqueName="[CLIENTS].[Client Name]" caption="Client Name" attribute="1" defaultMemberUniqueName="[CLIENTS].[Client Name].[All]" allUniqueName="[CLIENTS].[Client Name].[All]" dimensionUniqueName="[CLIENTS]" displayFolder="" count="0" memberValueDatatype="130" unbalanced="0"/>
    <cacheHierarchy uniqueName="[CLIENTS].[IDE]" caption="IDE" attribute="1" defaultMemberUniqueName="[CLIENTS].[IDE].[All]" allUniqueName="[CLIENTS].[IDE].[All]" dimensionUniqueName="[CLIENTS]" displayFolder="" count="0" memberValueDatatype="130" unbalanced="0"/>
    <cacheHierarchy uniqueName="[CLIENTS].[Type]" caption="Type" attribute="1" defaultMemberUniqueName="[CLIENTS].[Type].[All]" allUniqueName="[CLIENTS].[Type].[All]" dimensionUniqueName="[CLIENTS]" displayFolder="" count="0" memberValueDatatype="130" unbalanced="0"/>
    <cacheHierarchy uniqueName="[CLIENTS].[Location]" caption="Location" attribute="1" defaultMemberUniqueName="[CLIENTS].[Location].[All]" allUniqueName="[CLIENTS].[Location].[All]" dimensionUniqueName="[CLIENTS]" displayFolder="" count="0" memberValueDatatype="130" unbalanced="0"/>
    <cacheHierarchy uniqueName="[CLIENTS].[Canton]" caption="Canton" attribute="1" defaultMemberUniqueName="[CLIENTS].[Canton].[All]" allUniqueName="[CLIENTS].[Canton].[All]" dimensionUniqueName="[CLIENTS]" displayFolder="" count="0" memberValueDatatype="130" unbalanced="0"/>
    <cacheHierarchy uniqueName="[dimCat].[catid]" caption="catid" attribute="1" defaultMemberUniqueName="[dimCat].[catid].[All]" allUniqueName="[dimCat].[catid].[All]" dimensionUniqueName="[dimCat]" displayFolder="" count="0" memberValueDatatype="20" unbalanced="0"/>
    <cacheHierarchy uniqueName="[dimCat].[Category]" caption="Category" attribute="1" defaultMemberUniqueName="[dimCat].[Category].[All]" allUniqueName="[dimCat].[Category].[All]" dimensionUniqueName="[dimCat]" displayFolder="" count="0" memberValueDatatype="130" unbalanced="0"/>
    <cacheHierarchy uniqueName="[INVOICES].[lineNB]" caption="lineNB" attribute="1" defaultMemberUniqueName="[INVOICES].[lineNB].[All]" allUniqueName="[INVOICES].[lineNB].[All]" dimensionUniqueName="[INVOICES]" displayFolder="" count="0" memberValueDatatype="5" unbalanced="0"/>
    <cacheHierarchy uniqueName="[INVOICES].[invoiceID]" caption="invoiceID" attribute="1" defaultMemberUniqueName="[INVOICES].[invoiceID].[All]" allUniqueName="[INVOICES].[invoiceID].[All]" dimensionUniqueName="[INVOICES]" displayFolder="" count="0" memberValueDatatype="130" unbalanced="0"/>
    <cacheHierarchy uniqueName="[INVOICES].[clientID]" caption="clientID" attribute="1" defaultMemberUniqueName="[INVOICES].[clientID].[All]" allUniqueName="[INVOICES].[clientID].[All]" dimensionUniqueName="[INVOICES]" displayFolder="" count="0" memberValueDatatype="5" unbalanced="0"/>
    <cacheHierarchy uniqueName="[INVOICES].[serviceID]" caption="serviceID" attribute="1" defaultMemberUniqueName="[INVOICES].[serviceID].[All]" allUniqueName="[INVOICES].[serviceID].[All]" dimensionUniqueName="[INVOICES]" displayFolder="" count="0" memberValueDatatype="5" unbalanced="0"/>
    <cacheHierarchy uniqueName="[INVOICES].[NBHoursSold]" caption="NBHoursSold" attribute="1" defaultMemberUniqueName="[INVOICES].[NBHoursSold].[All]" allUniqueName="[INVOICES].[NBHoursSold].[All]" dimensionUniqueName="[INVOICES]" displayFolder="" count="0" memberValueDatatype="5" unbalanced="0"/>
    <cacheHierarchy uniqueName="[INVOICES].[date]" caption="date" attribute="1" time="1" defaultMemberUniqueName="[INVOICES].[date].[All]" allUniqueName="[INVOICES].[date].[All]" dimensionUniqueName="[INVOICES]" displayFolder="" count="0" memberValueDatatype="7" unbalanced="0"/>
    <cacheHierarchy uniqueName="[INVOICES].[Total sale]" caption="Total sale" attribute="1" defaultMemberUniqueName="[INVOICES].[Total sale].[All]" allUniqueName="[INVOICES].[Total sale].[All]" dimensionUniqueName="[INVOICES]" displayFolder="" count="0" memberValueDatatype="5" unbalanced="0"/>
    <cacheHierarchy uniqueName="[INVOICES].[Total Cost]" caption="Total Cost" attribute="1" defaultMemberUniqueName="[INVOICES].[Total Cost].[All]" allUniqueName="[INVOICES].[Total Cost].[All]" dimensionUniqueName="[INVOICES]" displayFolder="" count="0" memberValueDatatype="5" unbalanced="0"/>
    <cacheHierarchy uniqueName="[INVOICES].[Profit]" caption="Profit" attribute="1" defaultMemberUniqueName="[INVOICES].[Profit].[All]" allUniqueName="[INVOICES].[Profit].[All]" dimensionUniqueName="[INVOICES]" displayFolder="" count="0" memberValueDatatype="5" unbalanced="0"/>
    <cacheHierarchy uniqueName="[INVOICES].[Profit %]" caption="Profit %" attribute="1" defaultMemberUniqueName="[INVOICES].[Profit %].[All]" allUniqueName="[INVOICES].[Profit %].[All]" dimensionUniqueName="[INVOICES]" displayFolder="" count="0" memberValueDatatype="5" unbalanced="0"/>
    <cacheHierarchy uniqueName="[SERVICES].[lineNB]" caption="lineNB" attribute="1" defaultMemberUniqueName="[SERVICES].[lineNB].[All]" allUniqueName="[SERVICES].[lineNB].[All]" dimensionUniqueName="[SERVICES]" displayFolder="" count="0" memberValueDatatype="5" unbalanced="0"/>
    <cacheHierarchy uniqueName="[SERVICES].[Subcategory]" caption="Subcategory" attribute="1" defaultMemberUniqueName="[SERVICES].[Subcategory].[All]" allUniqueName="[SERVICES].[Subcategory].[All]" dimensionUniqueName="[SERVICES]" displayFolder="" count="0" memberValueDatatype="5" unbalanced="0"/>
    <cacheHierarchy uniqueName="[SERVICES].[Reference]" caption="Reference" attribute="1" defaultMemberUniqueName="[SERVICES].[Reference].[All]" allUniqueName="[SERVICES].[Reference].[All]" dimensionUniqueName="[SERVICES]" displayFolder="" count="0" memberValueDatatype="130" unbalanced="0"/>
    <cacheHierarchy uniqueName="[SERVICES].[hr_services]" caption="hr_services" defaultMemberUniqueName="[SERVICES].[hr_services].[All]" allUniqueName="[SERVICES].[hr_services].[All]" dimensionUniqueName="[SERVICES]" displayFolder="" count="0" unbalanced="0"/>
    <cacheHierarchy uniqueName="[SERVICES].[Description]" caption="Description" attribute="1" defaultMemberUniqueName="[SERVICES].[Description].[All]" allUniqueName="[SERVICES].[Description].[All]" dimensionUniqueName="[SERVICES]" displayFolder="" count="0" memberValueDatatype="130" unbalanced="0"/>
    <cacheHierarchy uniqueName="[SERVICES].[Rate per hour]" caption="Rate per hour" attribute="1" defaultMemberUniqueName="[SERVICES].[Rate per hour].[All]" allUniqueName="[SERVICES].[Rate per hour].[All]" dimensionUniqueName="[SERVICES]" displayFolder="" count="0"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0" memberValueDatatype="5" unbalanced="0"/>
    <cacheHierarchy uniqueName="[SERVICES].[SubCatName]" caption="SubCatName" attribute="1" defaultMemberUniqueName="[SERVICES].[SubCatName].[All]" allUniqueName="[SERVICES].[SubCatName].[All]" dimensionUniqueName="[SERVICES]" displayFolder="" count="0" memberValueDatatype="130" unbalanced="0"/>
    <cacheHierarchy uniqueName="[SERVICES].[CatName]" caption="CatName" attribute="1" defaultMemberUniqueName="[SERVICES].[CatName].[All]" allUniqueName="[SERVICES].[CatName].[All]" dimensionUniqueName="[SERVICES]" displayFolder="" count="0" memberValueDatatype="130" unbalanced="0"/>
    <cacheHierarchy uniqueName="[SUBCAT].[CATID]" caption="CATID" attribute="1" defaultMemberUniqueName="[SUBCAT].[CATID].[All]" allUniqueName="[SUBCAT].[CATID].[All]" dimensionUniqueName="[SUBCAT]" displayFolder="" count="0" memberValueDatatype="5" unbalanced="0"/>
    <cacheHierarchy uniqueName="[SUBCAT].[SUBCATID]" caption="SUBCATID" attribute="1" defaultMemberUniqueName="[SUBCAT].[SUBCATID].[All]" allUniqueName="[SUBCAT].[SUBCATID].[All]" dimensionUniqueName="[SUBCAT]" displayFolder="" count="0" memberValueDatatype="5" unbalanced="0"/>
    <cacheHierarchy uniqueName="[SUBCAT].[Subcategory]" caption="Subcategory" attribute="1" defaultMemberUniqueName="[SUBCAT].[Subcategory].[All]" allUniqueName="[SUBCAT].[Subcategory].[All]" dimensionUniqueName="[SUBCAT]" displayFolder="" count="0" memberValueDatatype="130" unbalanced="0"/>
    <cacheHierarchy uniqueName="[Measures].[Global Costs]" caption="Global Costs" measure="1" displayFolder="" measureGroup="INVOICES" count="0"/>
    <cacheHierarchy uniqueName="[Measures].[Global Profit]" caption="Global Profit" measure="1" displayFolder="" measureGroup="INVOICES" count="0" oneField="1">
      <fieldsUsage count="1">
        <fieldUsage x="4"/>
      </fieldsUsage>
    </cacheHierarchy>
    <cacheHierarchy uniqueName="[Measures].[AVG Profit %]" caption="AVG Profit %" measure="1" displayFolder="" measureGroup="INVOICES" count="0"/>
    <cacheHierarchy uniqueName="[Measures].[NB invoices]" caption="NB invoices" measure="1" displayFolder="" measureGroup="INVOICES" count="0" oneField="1">
      <fieldsUsage count="1">
        <fieldUsage x="5"/>
      </fieldsUsage>
    </cacheHierarchy>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oneField="1">
      <fieldsUsage count="1">
        <fieldUsage x="6"/>
      </fieldsUsage>
    </cacheHierarchy>
    <cacheHierarchy uniqueName="[Measures].[Turnover LY]" caption="Turnover LY" measure="1" displayFolder="" measureGroup="INVOICES" count="0" oneField="1">
      <fieldsUsage count="1">
        <fieldUsage x="8"/>
      </fieldsUsage>
    </cacheHierarchy>
    <cacheHierarchy uniqueName="[Measures].[Turnover]" caption="Turnover" measure="1" displayFolder="" measureGroup="INVOICES" count="0" oneField="1">
      <fieldsUsage count="1">
        <fieldUsage x="3"/>
      </fieldsUsage>
    </cacheHierarchy>
    <cacheHierarchy uniqueName="[Measures].[Turnover comp]" caption="Turnover comp" measure="1" displayFolder="" measureGroup="INVOICES" count="0"/>
    <cacheHierarchy uniqueName="[Measures].[Profit LY]" caption="Profit LY" measure="1" displayFolder="" measureGroup="INVOICES" count="0"/>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oneField="1" hidden="1">
      <fieldsUsage count="1">
        <fieldUsage x="7"/>
      </fieldsUsage>
    </cacheHierarchy>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oneField="1" hidden="1">
      <fieldsUsage count="1">
        <fieldUsage x="9"/>
      </fieldsUsage>
    </cacheHierarchy>
    <cacheHierarchy uniqueName="Unsupported0" caption="Date" measure="1" count="0">
      <extLst>
        <ext xmlns:x14="http://schemas.microsoft.com/office/spreadsheetml/2009/9/main" uri="{8CF416AD-EC4C-4aba-99F5-12A058AE0983}">
          <x14:cacheHierarchy ignore="1"/>
        </ext>
      </extLst>
    </cacheHierarchy>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dimensions count="7">
    <dimension name="Calendar" uniqueName="[Calendar]" caption="Calendar"/>
    <dimension name="CLIENTS" uniqueName="[CLIENTS]" caption="CLIENTS"/>
    <dimension name="dimCat" uniqueName="[dimCat]" caption="dimCat"/>
    <dimension name="INVOICES" uniqueName="[INVOICES]" caption="INVOICES"/>
    <dimension measure="1" name="Measures" uniqueName="[Measures]" caption="Measures"/>
    <dimension name="SERVICES" uniqueName="[SERVICES]" caption="SERVICES"/>
    <dimension name="SUBCAT" uniqueName="[SUBCAT]" caption="SUBCAT"/>
  </dimensions>
  <measureGroups count="6">
    <measureGroup name="Calendar" caption="Calendar"/>
    <measureGroup name="CLIENTS" caption="CLIENTS"/>
    <measureGroup name="dimCat" caption="dimCat"/>
    <measureGroup name="INVOICES" caption="INVOICES"/>
    <measureGroup name="SERVICES" caption="SERVICES"/>
    <measureGroup name="SUBCAT" caption="SUBCAT"/>
  </measureGroups>
  <maps count="14">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2"/>
    <map measureGroup="4" dimension="5"/>
    <map measureGroup="4" dimension="6"/>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8.007614351853" createdVersion="5" refreshedVersion="8" minRefreshableVersion="3" recordCount="0" supportSubquery="1" supportAdvancedDrill="1" xr:uid="{7DB1D9E7-E5DD-4960-9371-40E3A2BF9F22}">
  <cacheSource type="external" connectionId="5"/>
  <cacheFields count="7">
    <cacheField name="[Measures].[Global Profit]" caption="Global Profit" numFmtId="0" hierarchy="39" level="32767"/>
    <cacheField name="[CLIENTS].[Type].[Type]" caption="Type" numFmtId="0" hierarchy="11" level="1">
      <sharedItems count="2">
        <s v="SA"/>
        <s v="Sàrl"/>
      </sharedItems>
    </cacheField>
    <cacheField name="[Measures].[Profit LY]" caption="Profit LY" numFmtId="0" hierarchy="51" level="32767"/>
    <cacheField name="[Calendar].[Date Hierarchy].[Year]" caption="Year" numFmtId="0" hierarchy="1"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Calendar].[Date Hierarchy].[Year].&amp;[2021]"/>
            <x15:cachedUniqueName index="1"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alendar].[Year].[Year]" caption="Year" numFmtId="0" hierarchy="2" level="1">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IENTS].[clientID]" caption="clientID" attribute="1" defaultMemberUniqueName="[CLIENTS].[clientID].[All]" allUniqueName="[CLIENTS].[clientID].[All]" dimensionUniqueName="[CLIENTS]" displayFolder="" count="0" memberValueDatatype="5" unbalanced="0"/>
    <cacheHierarchy uniqueName="[CLIENTS].[Client Name]" caption="Client Name" attribute="1" defaultMemberUniqueName="[CLIENTS].[Client Name].[All]" allUniqueName="[CLIENTS].[Client Name].[All]" dimensionUniqueName="[CLIENTS]" displayFolder="" count="0" memberValueDatatype="130" unbalanced="0"/>
    <cacheHierarchy uniqueName="[CLIENTS].[IDE]" caption="IDE" attribute="1" defaultMemberUniqueName="[CLIENTS].[IDE].[All]" allUniqueName="[CLIENTS].[IDE].[All]" dimensionUniqueName="[CLIENTS]" displayFolder="" count="0" memberValueDatatype="130" unbalanced="0"/>
    <cacheHierarchy uniqueName="[CLIENTS].[Type]" caption="Type" attribute="1" defaultMemberUniqueName="[CLIENTS].[Type].[All]" allUniqueName="[CLIENTS].[Type].[All]" dimensionUniqueName="[CLIENTS]" displayFolder="" count="2" memberValueDatatype="130" unbalanced="0">
      <fieldsUsage count="2">
        <fieldUsage x="-1"/>
        <fieldUsage x="1"/>
      </fieldsUsage>
    </cacheHierarchy>
    <cacheHierarchy uniqueName="[CLIENTS].[Location]" caption="Location" attribute="1" defaultMemberUniqueName="[CLIENTS].[Location].[All]" allUniqueName="[CLIENTS].[Location].[All]" dimensionUniqueName="[CLIENTS]" displayFolder="" count="0" memberValueDatatype="130" unbalanced="0"/>
    <cacheHierarchy uniqueName="[CLIENTS].[Canton]" caption="Canton" attribute="1" defaultMemberUniqueName="[CLIENTS].[Canton].[All]" allUniqueName="[CLIENTS].[Canton].[All]" dimensionUniqueName="[CLIENTS]" displayFolder="" count="0" memberValueDatatype="130" unbalanced="0"/>
    <cacheHierarchy uniqueName="[dimCat].[catid]" caption="catid" attribute="1" defaultMemberUniqueName="[dimCat].[catid].[All]" allUniqueName="[dimCat].[catid].[All]" dimensionUniqueName="[dimCat]" displayFolder="" count="0" memberValueDatatype="20" unbalanced="0"/>
    <cacheHierarchy uniqueName="[dimCat].[Category]" caption="Category" attribute="1" defaultMemberUniqueName="[dimCat].[Category].[All]" allUniqueName="[dimCat].[Category].[All]" dimensionUniqueName="[dimCat]" displayFolder="" count="0" memberValueDatatype="130" unbalanced="0"/>
    <cacheHierarchy uniqueName="[INVOICES].[lineNB]" caption="lineNB" attribute="1" defaultMemberUniqueName="[INVOICES].[lineNB].[All]" allUniqueName="[INVOICES].[lineNB].[All]" dimensionUniqueName="[INVOICES]" displayFolder="" count="0" memberValueDatatype="5" unbalanced="0"/>
    <cacheHierarchy uniqueName="[INVOICES].[invoiceID]" caption="invoiceID" attribute="1" defaultMemberUniqueName="[INVOICES].[invoiceID].[All]" allUniqueName="[INVOICES].[invoiceID].[All]" dimensionUniqueName="[INVOICES]" displayFolder="" count="0" memberValueDatatype="130" unbalanced="0"/>
    <cacheHierarchy uniqueName="[INVOICES].[clientID]" caption="clientID" attribute="1" defaultMemberUniqueName="[INVOICES].[clientID].[All]" allUniqueName="[INVOICES].[clientID].[All]" dimensionUniqueName="[INVOICES]" displayFolder="" count="0" memberValueDatatype="5" unbalanced="0"/>
    <cacheHierarchy uniqueName="[INVOICES].[serviceID]" caption="serviceID" attribute="1" defaultMemberUniqueName="[INVOICES].[serviceID].[All]" allUniqueName="[INVOICES].[serviceID].[All]" dimensionUniqueName="[INVOICES]" displayFolder="" count="0" memberValueDatatype="5" unbalanced="0"/>
    <cacheHierarchy uniqueName="[INVOICES].[NBHoursSold]" caption="NBHoursSold" attribute="1" defaultMemberUniqueName="[INVOICES].[NBHoursSold].[All]" allUniqueName="[INVOICES].[NBHoursSold].[All]" dimensionUniqueName="[INVOICES]" displayFolder="" count="0" memberValueDatatype="5" unbalanced="0"/>
    <cacheHierarchy uniqueName="[INVOICES].[date]" caption="date" attribute="1" time="1" defaultMemberUniqueName="[INVOICES].[date].[All]" allUniqueName="[INVOICES].[date].[All]" dimensionUniqueName="[INVOICES]" displayFolder="" count="0" memberValueDatatype="7" unbalanced="0"/>
    <cacheHierarchy uniqueName="[INVOICES].[Total sale]" caption="Total sale" attribute="1" defaultMemberUniqueName="[INVOICES].[Total sale].[All]" allUniqueName="[INVOICES].[Total sale].[All]" dimensionUniqueName="[INVOICES]" displayFolder="" count="0" memberValueDatatype="5" unbalanced="0"/>
    <cacheHierarchy uniqueName="[INVOICES].[Total Cost]" caption="Total Cost" attribute="1" defaultMemberUniqueName="[INVOICES].[Total Cost].[All]" allUniqueName="[INVOICES].[Total Cost].[All]" dimensionUniqueName="[INVOICES]" displayFolder="" count="0" memberValueDatatype="5" unbalanced="0"/>
    <cacheHierarchy uniqueName="[INVOICES].[Profit]" caption="Profit" attribute="1" defaultMemberUniqueName="[INVOICES].[Profit].[All]" allUniqueName="[INVOICES].[Profit].[All]" dimensionUniqueName="[INVOICES]" displayFolder="" count="0" memberValueDatatype="5" unbalanced="0"/>
    <cacheHierarchy uniqueName="[INVOICES].[Profit %]" caption="Profit %" attribute="1" defaultMemberUniqueName="[INVOICES].[Profit %].[All]" allUniqueName="[INVOICES].[Profit %].[All]" dimensionUniqueName="[INVOICES]" displayFolder="" count="0" memberValueDatatype="5" unbalanced="0"/>
    <cacheHierarchy uniqueName="[SERVICES].[lineNB]" caption="lineNB" attribute="1" defaultMemberUniqueName="[SERVICES].[lineNB].[All]" allUniqueName="[SERVICES].[lineNB].[All]" dimensionUniqueName="[SERVICES]" displayFolder="" count="0" memberValueDatatype="5" unbalanced="0"/>
    <cacheHierarchy uniqueName="[SERVICES].[Subcategory]" caption="Subcategory" attribute="1" defaultMemberUniqueName="[SERVICES].[Subcategory].[All]" allUniqueName="[SERVICES].[Subcategory].[All]" dimensionUniqueName="[SERVICES]" displayFolder="" count="0" memberValueDatatype="5" unbalanced="0"/>
    <cacheHierarchy uniqueName="[SERVICES].[Reference]" caption="Reference" attribute="1" defaultMemberUniqueName="[SERVICES].[Reference].[All]" allUniqueName="[SERVICES].[Reference].[All]" dimensionUniqueName="[SERVICES]" displayFolder="" count="0" memberValueDatatype="130" unbalanced="0"/>
    <cacheHierarchy uniqueName="[SERVICES].[hr_services]" caption="hr_services" defaultMemberUniqueName="[SERVICES].[hr_services].[All]" allUniqueName="[SERVICES].[hr_services].[All]" dimensionUniqueName="[SERVICES]" displayFolder="" count="4" unbalanced="0"/>
    <cacheHierarchy uniqueName="[SERVICES].[Description]" caption="Description" attribute="1" defaultMemberUniqueName="[SERVICES].[Description].[All]" allUniqueName="[SERVICES].[Description].[All]" dimensionUniqueName="[SERVICES]" displayFolder="" count="0" memberValueDatatype="130" unbalanced="0"/>
    <cacheHierarchy uniqueName="[SERVICES].[Rate per hour]" caption="Rate per hour" attribute="1" defaultMemberUniqueName="[SERVICES].[Rate per hour].[All]" allUniqueName="[SERVICES].[Rate per hour].[All]" dimensionUniqueName="[SERVICES]" displayFolder="" count="0"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0" memberValueDatatype="5" unbalanced="0"/>
    <cacheHierarchy uniqueName="[SERVICES].[SubCatName]" caption="SubCatName" attribute="1" defaultMemberUniqueName="[SERVICES].[SubCatName].[All]" allUniqueName="[SERVICES].[SubCatName].[All]" dimensionUniqueName="[SERVICES]" displayFolder="" count="0" memberValueDatatype="130" unbalanced="0"/>
    <cacheHierarchy uniqueName="[SERVICES].[CatName]" caption="CatName" attribute="1" defaultMemberUniqueName="[SERVICES].[CatName].[All]" allUniqueName="[SERVICES].[CatName].[All]" dimensionUniqueName="[SERVICES]" displayFolder="" count="0" memberValueDatatype="130" unbalanced="0"/>
    <cacheHierarchy uniqueName="[SUBCAT].[CATID]" caption="CATID" attribute="1" defaultMemberUniqueName="[SUBCAT].[CATID].[All]" allUniqueName="[SUBCAT].[CATID].[All]" dimensionUniqueName="[SUBCAT]" displayFolder="" count="0" memberValueDatatype="5" unbalanced="0"/>
    <cacheHierarchy uniqueName="[SUBCAT].[SUBCATID]" caption="SUBCATID" attribute="1" defaultMemberUniqueName="[SUBCAT].[SUBCATID].[All]" allUniqueName="[SUBCAT].[SUBCATID].[All]" dimensionUniqueName="[SUBCAT]" displayFolder="" count="0" memberValueDatatype="5" unbalanced="0"/>
    <cacheHierarchy uniqueName="[SUBCAT].[Subcategory]" caption="Subcategory" attribute="1" defaultMemberUniqueName="[SUBCAT].[Subcategory].[All]" allUniqueName="[SUBCAT].[Subcategory].[All]" dimensionUniqueName="[SUBCAT]" displayFolder="" count="0" memberValueDatatype="130" unbalanced="0"/>
    <cacheHierarchy uniqueName="[Measures].[Global Costs]" caption="Global Costs" measure="1" displayFolder="" measureGroup="INVOICES" count="0"/>
    <cacheHierarchy uniqueName="[Measures].[Global Profit]" caption="Global Profit" measure="1" displayFolder="" measureGroup="INVOICES" count="0" oneField="1">
      <fieldsUsage count="1">
        <fieldUsage x="0"/>
      </fieldsUsage>
    </cacheHierarchy>
    <cacheHierarchy uniqueName="[Measures].[AVG Profit %]" caption="AVG Profit %" measure="1" displayFolder="" measureGroup="INVOICES" count="0"/>
    <cacheHierarchy uniqueName="[Measures].[NB invoices]" caption="NB invoices" measure="1" displayFolder="" measureGroup="INVOICES" count="0"/>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cacheHierarchy uniqueName="[Measures].[Turnover LY]" caption="Turnover LY" measure="1" displayFolder="" measureGroup="INVOICES" count="0"/>
    <cacheHierarchy uniqueName="[Measures].[Turnover]" caption="Turnover" measure="1" displayFolder="" measureGroup="INVOICES" count="0"/>
    <cacheHierarchy uniqueName="[Measures].[Turnover comp]" caption="Turnover comp" measure="1" displayFolder="" measureGroup="INVOICES" count="0"/>
    <cacheHierarchy uniqueName="[Measures].[Profit LY]" caption="Profit LY" measure="1" displayFolder="" measureGroup="INVOICES" count="0" oneField="1">
      <fieldsUsage count="1">
        <fieldUsage x="2"/>
      </fieldsUsage>
    </cacheHierarchy>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hidden="1"/>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hidden="1"/>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dimensions count="7">
    <dimension name="Calendar" uniqueName="[Calendar]" caption="Calendar"/>
    <dimension name="CLIENTS" uniqueName="[CLIENTS]" caption="CLIENTS"/>
    <dimension name="dimCat" uniqueName="[dimCat]" caption="dimCat"/>
    <dimension name="INVOICES" uniqueName="[INVOICES]" caption="INVOICES"/>
    <dimension measure="1" name="Measures" uniqueName="[Measures]" caption="Measures"/>
    <dimension name="SERVICES" uniqueName="[SERVICES]" caption="SERVICES"/>
    <dimension name="SUBCAT" uniqueName="[SUBCAT]" caption="SUBCAT"/>
  </dimensions>
  <measureGroups count="6">
    <measureGroup name="Calendar" caption="Calendar"/>
    <measureGroup name="CLIENTS" caption="CLIENTS"/>
    <measureGroup name="dimCat" caption="dimCat"/>
    <measureGroup name="INVOICES" caption="INVOICES"/>
    <measureGroup name="SERVICES" caption="SERVICES"/>
    <measureGroup name="SUBCAT" caption="SUBCAT"/>
  </measureGroups>
  <maps count="14">
    <map measureGroup="0" dimension="0"/>
    <map measureGroup="1" dimension="1"/>
    <map measureGroup="2" dimension="2"/>
    <map measureGroup="3" dimension="0"/>
    <map measureGroup="3" dimension="1"/>
    <map measureGroup="3" dimension="2"/>
    <map measureGroup="3" dimension="3"/>
    <map measureGroup="3" dimension="5"/>
    <map measureGroup="3" dimension="6"/>
    <map measureGroup="4" dimension="2"/>
    <map measureGroup="4" dimension="5"/>
    <map measureGroup="4" dimension="6"/>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udovic Moreau" refreshedDate="45748.011755555555" createdVersion="3" refreshedVersion="8" minRefreshableVersion="3" recordCount="0" tupleCache="1" supportSubquery="1" supportAdvancedDrill="1" xr:uid="{28A4660F-7B44-48F9-AA67-C6ED95C94662}">
  <cacheSource type="external" connectionId="5"/>
  <cacheFields count="2">
    <cacheField name="[Measures].[MeasuresLevel]" caption="MeasuresLevel" numFmtId="0" hierarchy="26">
      <sharedItems count="2">
        <s v="[Measures].[Turnover]" c="Turnover"/>
        <s v="[Measures].[NB invoices]" c="NB invoices"/>
      </sharedItems>
    </cacheField>
    <cacheField name="[CLIENTS].[Client Name].[Client Name]" caption="Client Name" numFmtId="0" hierarchy="9" level="1">
      <sharedItems count="15">
        <s v="[CLIENTS].[Client Name].&amp;[DENTIA Gestion Sàrl]" c="DENTIA Gestion Sàrl"/>
        <s v="[CLIENTS].[Client Name].&amp;[PI Parc Investissements SA]" c="PI Parc Investissements SA"/>
        <s v="[CLIENTS].[Client Name].&amp;[BMB Gestion Sàrl]" c="BMB Gestion Sàrl"/>
        <s v="[CLIENTS].[Client Name].&amp;[SDCI Constructions Investissements SA]" c="SDCI Constructions Investissements SA"/>
        <s v="[CLIENTS].[Client Name].&amp;[Prima Investissements SA]" c="Prima Investissements SA"/>
        <s v="[CLIENTS].[Client Name].&amp;[dpm finances et consulting sàrl]" c="dpm finances et consulting sàrl"/>
        <s v="[CLIENTS].[Client Name].&amp;[LOUP INVESTISSEMENT SA]" c="LOUP INVESTISSEMENT SA"/>
        <s v="[CLIENTS].[Client Name].&amp;[Investissements.NE SA]" c="Investissements.NE SA"/>
        <s v="[CLIENTS].[Client Name].&amp;[SIFINA SA Société d'Investissements Financiers]" c="SIFINA SA Société d'Investissements Financiers"/>
        <s v="[CLIENTS].[Client Name].&amp;[Ecogestion Solutions Environnementales Sàrl]" c="Ecogestion Solutions Environnementales Sàrl"/>
        <s v="[CLIENTS].[Client Name].&amp;[L&amp;L investissements SA]" c="L&amp;L investissements SA"/>
        <s v="[CLIENTS].[Client Name].&amp;[A.R.G. Architecture Réalisations Gestion S. à r.l.]" c="A.R.G. Architecture Réalisations Gestion S. à r.l."/>
        <s v="[CLIENTS].[Client Name].&amp;[GIF Genève Investissement &amp; Finance (Suisse) SA]" c="GIF Genève Investissement &amp; Finance (Suisse) SA"/>
        <s v="[CLIENTS].[Client Name].&amp;[2LS Investissement SA]" c="2LS Investissement SA"/>
        <s v="[CLIENTS].[Client Name].&amp;[Ineom Investissement 2 SA]" c="Ineom Investissement 2 SA"/>
      </sharedItems>
    </cacheField>
  </cacheFields>
  <cacheHierarchies count="6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LIENTS].[clientID]" caption="clientID" attribute="1" defaultMemberUniqueName="[CLIENTS].[clientID].[All]" allUniqueName="[CLIENTS].[clientID].[All]" dimensionUniqueName="[CLIENTS]" displayFolder="" count="2" memberValueDatatype="5" unbalanced="0"/>
    <cacheHierarchy uniqueName="[CLIENTS].[Client Name]" caption="Client Name" attribute="1" defaultMemberUniqueName="[CLIENTS].[Client Name].[All]" allUniqueName="[CLIENTS].[Client Name].[All]" dimensionUniqueName="[CLIENTS]" displayFolder="" count="2" memberValueDatatype="130" unbalanced="0">
      <fieldsUsage count="2">
        <fieldUsage x="-1"/>
        <fieldUsage x="1"/>
      </fieldsUsage>
    </cacheHierarchy>
    <cacheHierarchy uniqueName="[CLIENTS].[IDE]" caption="IDE" attribute="1" defaultMemberUniqueName="[CLIENTS].[IDE].[All]" allUniqueName="[CLIENTS].[IDE].[All]" dimensionUniqueName="[CLIENTS]" displayFolder="" count="2" memberValueDatatype="130" unbalanced="0"/>
    <cacheHierarchy uniqueName="[CLIENTS].[Type]" caption="Type" attribute="1" defaultMemberUniqueName="[CLIENTS].[Type].[All]" allUniqueName="[CLIENTS].[Type].[All]" allCaption="All" dimensionUniqueName="[CLIENTS]" displayFolder="" count="2" memberValueDatatype="130" unbalanced="0"/>
    <cacheHierarchy uniqueName="[CLIENTS].[Location]" caption="Location" attribute="1" defaultMemberUniqueName="[CLIENTS].[Location].[All]" allUniqueName="[CLIENTS].[Location].[All]" dimensionUniqueName="[CLIENTS]" displayFolder="" count="2" memberValueDatatype="130" unbalanced="0"/>
    <cacheHierarchy uniqueName="[CLIENTS].[Canton]" caption="Canton" attribute="1" defaultMemberUniqueName="[CLIENTS].[Canton].[All]" allUniqueName="[CLIENTS].[Canton].[All]" dimensionUniqueName="[CLIENTS]" displayFolder="" count="2" memberValueDatatype="130" unbalanced="0"/>
    <cacheHierarchy uniqueName="[dimCat].[catid]" caption="catid" attribute="1" defaultMemberUniqueName="[dimCat].[catid].[All]" allUniqueName="[dimCat].[catid].[All]" dimensionUniqueName="[dimCat]" displayFolder="" count="2" memberValueDatatype="20" unbalanced="0"/>
    <cacheHierarchy uniqueName="[dimCat].[Category]" caption="Category" attribute="1" defaultMemberUniqueName="[dimCat].[Category].[All]" allUniqueName="[dimCat].[Category].[All]" dimensionUniqueName="[dimCat]" displayFolder="" count="2" memberValueDatatype="130" unbalanced="0"/>
    <cacheHierarchy uniqueName="[INVOICES].[lineNB]" caption="lineNB" attribute="1" defaultMemberUniqueName="[INVOICES].[lineNB].[All]" allUniqueName="[INVOICES].[lineNB].[All]" dimensionUniqueName="[INVOICES]" displayFolder="" count="2" memberValueDatatype="5" unbalanced="0"/>
    <cacheHierarchy uniqueName="[INVOICES].[invoiceID]" caption="invoiceID" attribute="1" defaultMemberUniqueName="[INVOICES].[invoiceID].[All]" allUniqueName="[INVOICES].[invoiceID].[All]" dimensionUniqueName="[INVOICES]" displayFolder="" count="2" memberValueDatatype="130" unbalanced="0"/>
    <cacheHierarchy uniqueName="[INVOICES].[clientID]" caption="clientID" attribute="1" defaultMemberUniqueName="[INVOICES].[clientID].[All]" allUniqueName="[INVOICES].[clientID].[All]" dimensionUniqueName="[INVOICES]" displayFolder="" count="2" memberValueDatatype="5" unbalanced="0"/>
    <cacheHierarchy uniqueName="[INVOICES].[serviceID]" caption="serviceID" attribute="1" defaultMemberUniqueName="[INVOICES].[serviceID].[All]" allUniqueName="[INVOICES].[serviceID].[All]" dimensionUniqueName="[INVOICES]" displayFolder="" count="2" memberValueDatatype="5" unbalanced="0"/>
    <cacheHierarchy uniqueName="[INVOICES].[NBHoursSold]" caption="NBHoursSold" attribute="1" defaultMemberUniqueName="[INVOICES].[NBHoursSold].[All]" allUniqueName="[INVOICES].[NBHoursSold].[All]" dimensionUniqueName="[INVOICES]" displayFolder="" count="2" memberValueDatatype="5" unbalanced="0"/>
    <cacheHierarchy uniqueName="[INVOICES].[date]" caption="date" attribute="1" time="1" defaultMemberUniqueName="[INVOICES].[date].[All]" allUniqueName="[INVOICES].[date].[All]" dimensionUniqueName="[INVOICES]" displayFolder="" count="2" memberValueDatatype="7" unbalanced="0"/>
    <cacheHierarchy uniqueName="[INVOICES].[Total sale]" caption="Total sale" attribute="1" defaultMemberUniqueName="[INVOICES].[Total sale].[All]" allUniqueName="[INVOICES].[Total sale].[All]" dimensionUniqueName="[INVOICES]" displayFolder="" count="2" memberValueDatatype="5" unbalanced="0"/>
    <cacheHierarchy uniqueName="[INVOICES].[Total Cost]" caption="Total Cost" attribute="1" defaultMemberUniqueName="[INVOICES].[Total Cost].[All]" allUniqueName="[INVOICES].[Total Cost].[All]" dimensionUniqueName="[INVOICES]" displayFolder="" count="2" memberValueDatatype="5" unbalanced="0"/>
    <cacheHierarchy uniqueName="[INVOICES].[Profit]" caption="Profit" attribute="1" defaultMemberUniqueName="[INVOICES].[Profit].[All]" allUniqueName="[INVOICES].[Profit].[All]" dimensionUniqueName="[INVOICES]" displayFolder="" count="2" memberValueDatatype="5" unbalanced="0"/>
    <cacheHierarchy uniqueName="[INVOICES].[Profit %]" caption="Profit %" attribute="1" defaultMemberUniqueName="[INVOICES].[Profit %].[All]" allUniqueName="[INVOICES].[Profit %].[All]" dimensionUniqueName="[INVOICES]" displayFolder="" count="2" memberValueDatatype="5"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SERVICES].[lineNB]" caption="lineNB" attribute="1" defaultMemberUniqueName="[SERVICES].[lineNB].[All]" allUniqueName="[SERVICES].[lineNB].[All]" dimensionUniqueName="[SERVICES]" displayFolder="" count="2" memberValueDatatype="5" unbalanced="0"/>
    <cacheHierarchy uniqueName="[SERVICES].[Subcategory]" caption="Subcategory" attribute="1" defaultMemberUniqueName="[SERVICES].[Subcategory].[All]" allUniqueName="[SERVICES].[Subcategory].[All]" dimensionUniqueName="[SERVICES]" displayFolder="" count="2" memberValueDatatype="5" unbalanced="0"/>
    <cacheHierarchy uniqueName="[SERVICES].[Reference]" caption="Reference" attribute="1" defaultMemberUniqueName="[SERVICES].[Reference].[All]" allUniqueName="[SERVICES].[Reference].[All]" dimensionUniqueName="[SERVICES]" displayFolder="" count="2" memberValueDatatype="130" unbalanced="0"/>
    <cacheHierarchy uniqueName="[SERVICES].[hr_services]" caption="hr_services" defaultMemberUniqueName="[SERVICES].[hr_services].[All]" allUniqueName="[SERVICES].[hr_services].[All]" dimensionUniqueName="[SERVICES]" displayFolder="" count="4" unbalanced="0"/>
    <cacheHierarchy uniqueName="[SERVICES].[Description]" caption="Description" attribute="1" defaultMemberUniqueName="[SERVICES].[Description].[All]" allUniqueName="[SERVICES].[Description].[All]" dimensionUniqueName="[SERVICES]" displayFolder="" count="2" memberValueDatatype="130" unbalanced="0"/>
    <cacheHierarchy uniqueName="[SERVICES].[Rate per hour]" caption="Rate per hour" attribute="1" defaultMemberUniqueName="[SERVICES].[Rate per hour].[All]" allUniqueName="[SERVICES].[Rate per hour].[All]" dimensionUniqueName="[SERVICES]" displayFolder="" count="2"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2" memberValueDatatype="5" unbalanced="0"/>
    <cacheHierarchy uniqueName="[SERVICES].[SubCatName]" caption="SubCatName" attribute="1" defaultMemberUniqueName="[SERVICES].[SubCatName].[All]" allUniqueName="[SERVICES].[SubCatName].[All]" dimensionUniqueName="[SERVICES]" displayFolder="" count="2" memberValueDatatype="130" unbalanced="0"/>
    <cacheHierarchy uniqueName="[SERVICES].[CatName]" caption="CatName" attribute="1" defaultMemberUniqueName="[SERVICES].[CatName].[All]" allUniqueName="[SERVICES].[CatName].[All]" dimensionUniqueName="[SERVICES]" displayFolder="" count="2" memberValueDatatype="130" unbalanced="0"/>
    <cacheHierarchy uniqueName="[SUBCAT].[CATID]" caption="CATID" attribute="1" defaultMemberUniqueName="[SUBCAT].[CATID].[All]" allUniqueName="[SUBCAT].[CATID].[All]" dimensionUniqueName="[SUBCAT]" displayFolder="" count="2" memberValueDatatype="5" unbalanced="0"/>
    <cacheHierarchy uniqueName="[SUBCAT].[SUBCATID]" caption="SUBCATID" attribute="1" defaultMemberUniqueName="[SUBCAT].[SUBCATID].[All]" allUniqueName="[SUBCAT].[SUBCATID].[All]" dimensionUniqueName="[SUBCAT]" displayFolder="" count="2" memberValueDatatype="5" unbalanced="0"/>
    <cacheHierarchy uniqueName="[SUBCAT].[Subcategory]" caption="Subcategory" attribute="1" defaultMemberUniqueName="[SUBCAT].[Subcategory].[All]" allUniqueName="[SUBCAT].[Subcategory].[All]" dimensionUniqueName="[SUBCAT]" displayFolder="" count="2" memberValueDatatype="130" unbalanced="0"/>
    <cacheHierarchy uniqueName="[Measures].[Global Costs]" caption="Global Costs" measure="1" displayFolder="" measureGroup="INVOICES" count="0"/>
    <cacheHierarchy uniqueName="[Measures].[Global Profit]" caption="Global Profit" measure="1" displayFolder="" measureGroup="INVOICES" count="0"/>
    <cacheHierarchy uniqueName="[Measures].[AVG Profit %]" caption="AVG Profit %" measure="1" displayFolder="" measureGroup="INVOICES" count="0"/>
    <cacheHierarchy uniqueName="[Measures].[NB invoices]" caption="NB invoices" measure="1" displayFolder="" measureGroup="INVOICES" count="0"/>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cacheHierarchy uniqueName="[Measures].[Turnover LY]" caption="Turnover LY" measure="1" displayFolder="" measureGroup="INVOICES" count="0"/>
    <cacheHierarchy uniqueName="[Measures].[Turnover]" caption="Turnover" measure="1" displayFolder="" measureGroup="INVOICES" count="0"/>
    <cacheHierarchy uniqueName="[Measures].[Turnover comp]" caption="Turnover comp" measure="1" displayFolder="" measureGroup="INVOICES" count="0"/>
    <cacheHierarchy uniqueName="[Measures].[Profit LY]" caption="Profit LY" measure="1" displayFolder="" measureGroup="INVOICES" count="0"/>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hidden="1"/>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hidden="1"/>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tupleCache>
    <entries count="32">
      <n v="8" in="0">
        <tpls c="3">
          <tpl fld="1" item="7"/>
          <tpl hier="11" item="0"/>
          <tpl fld="0" item="1"/>
        </tpls>
      </n>
      <n v="94710" in="1">
        <tpls c="3">
          <tpl fld="1" item="7"/>
          <tpl hier="11" item="0"/>
          <tpl fld="0" item="0"/>
        </tpls>
      </n>
      <n v="92240" in="1">
        <tpls c="3">
          <tpl fld="1" item="8"/>
          <tpl hier="11" item="0"/>
          <tpl fld="0" item="0"/>
        </tpls>
      </n>
      <n v="8" in="0">
        <tpls c="3">
          <tpl fld="1" item="8"/>
          <tpl hier="11" item="0"/>
          <tpl fld="0" item="1"/>
        </tpls>
      </n>
      <n v="6" in="0">
        <tpls c="3">
          <tpl fld="1" item="11"/>
          <tpl hier="11" item="0"/>
          <tpl fld="0" item="1"/>
        </tpls>
      </n>
      <n v="87620" in="1">
        <tpls c="3">
          <tpl fld="1" item="11"/>
          <tpl hier="11" item="0"/>
          <tpl fld="0" item="0"/>
        </tpls>
      </n>
      <n v="6" in="0">
        <tpls c="3">
          <tpl fld="1" item="10"/>
          <tpl hier="11" item="0"/>
          <tpl fld="0" item="1"/>
        </tpls>
      </n>
      <n v="89960" in="1">
        <tpls c="3">
          <tpl fld="1" item="10"/>
          <tpl hier="11" item="0"/>
          <tpl fld="0" item="0"/>
        </tpls>
      </n>
      <n v="90230" in="1">
        <tpls c="3">
          <tpl fld="1" item="9"/>
          <tpl hier="11" item="0"/>
          <tpl fld="0" item="0"/>
        </tpls>
      </n>
      <n v="7" in="0">
        <tpls c="3">
          <tpl fld="1" item="9"/>
          <tpl hier="11" item="0"/>
          <tpl fld="0" item="1"/>
        </tpls>
      </n>
      <n v="101270" in="1">
        <tpls c="3">
          <tpl fld="1" item="3"/>
          <tpl hier="11" item="0"/>
          <tpl fld="0" item="0"/>
        </tpls>
      </n>
      <n v="7" in="0">
        <tpls c="3">
          <tpl fld="1" item="3"/>
          <tpl hier="11" item="0"/>
          <tpl fld="0" item="1"/>
        </tpls>
      </n>
      <n v="82160" in="1">
        <tpls c="3">
          <tpl fld="1" item="14"/>
          <tpl hier="11" item="0"/>
          <tpl fld="0" item="0"/>
        </tpls>
      </n>
      <n v="9" in="0">
        <tpls c="3">
          <tpl fld="1" item="14"/>
          <tpl hier="11" item="0"/>
          <tpl fld="0" item="1"/>
        </tpls>
      </n>
      <n v="12" in="0">
        <tpls c="3">
          <tpl fld="1" item="2"/>
          <tpl hier="11" item="0"/>
          <tpl fld="0" item="1"/>
        </tpls>
      </n>
      <n v="101380" in="1">
        <tpls c="3">
          <tpl fld="1" item="2"/>
          <tpl hier="11" item="0"/>
          <tpl fld="0" item="0"/>
        </tpls>
      </n>
      <n v="85510" in="1">
        <tpls c="3">
          <tpl fld="1" item="13"/>
          <tpl hier="11" item="0"/>
          <tpl fld="0" item="0"/>
        </tpls>
      </n>
      <n v="9" in="0">
        <tpls c="3">
          <tpl fld="1" item="13"/>
          <tpl hier="11" item="0"/>
          <tpl fld="0" item="1"/>
        </tpls>
      </n>
      <n v="113710" in="1">
        <tpls c="3">
          <tpl fld="1" item="1"/>
          <tpl hier="11" item="0"/>
          <tpl fld="0" item="0"/>
        </tpls>
      </n>
      <n v="11" in="0">
        <tpls c="3">
          <tpl fld="1" item="1"/>
          <tpl hier="11" item="0"/>
          <tpl fld="0" item="1"/>
        </tpls>
      </n>
      <n v="8" in="0">
        <tpls c="3">
          <tpl fld="1" item="12"/>
          <tpl hier="11" item="0"/>
          <tpl fld="0" item="1"/>
        </tpls>
      </n>
      <n v="86240" in="1">
        <tpls c="3">
          <tpl fld="1" item="12"/>
          <tpl hier="11" item="0"/>
          <tpl fld="0" item="0"/>
        </tpls>
      </n>
      <n v="120980" in="1">
        <tpls c="3">
          <tpl fld="1" item="0"/>
          <tpl hier="11" item="0"/>
          <tpl fld="0" item="0"/>
        </tpls>
      </n>
      <n v="8" in="0">
        <tpls c="3">
          <tpl fld="1" item="0"/>
          <tpl hier="11" item="0"/>
          <tpl fld="0" item="1"/>
        </tpls>
      </n>
      <n v="9" in="0">
        <tpls c="3">
          <tpl fld="1" item="6"/>
          <tpl hier="11" item="0"/>
          <tpl fld="0" item="1"/>
        </tpls>
      </n>
      <n v="94940" in="1">
        <tpls c="3">
          <tpl fld="1" item="6"/>
          <tpl hier="11" item="0"/>
          <tpl fld="0" item="0"/>
        </tpls>
      </n>
      <n v="96320" in="1">
        <tpls c="3">
          <tpl fld="1" item="5"/>
          <tpl hier="11" item="0"/>
          <tpl fld="0" item="0"/>
        </tpls>
      </n>
      <n v="8" in="0">
        <tpls c="3">
          <tpl fld="1" item="5"/>
          <tpl hier="11" item="0"/>
          <tpl fld="0" item="1"/>
        </tpls>
      </n>
      <n v="100420" in="1">
        <tpls c="3">
          <tpl fld="1" item="4"/>
          <tpl hier="11" item="0"/>
          <tpl fld="0" item="0"/>
        </tpls>
      </n>
      <n v="9" in="0">
        <tpls c="3">
          <tpl fld="1" item="4"/>
          <tpl hier="11" item="0"/>
          <tpl fld="0" item="1"/>
        </tpls>
      </n>
      <n v="1437690" in="1">
        <tpls c="3">
          <tpl hier="9" item="1"/>
          <tpl hier="11" item="0"/>
          <tpl fld="0" item="0"/>
        </tpls>
      </n>
      <n v="125" in="0">
        <tpls c="3">
          <tpl hier="9" item="1"/>
          <tpl hier="11" item="0"/>
          <tpl fld="0" item="1"/>
        </tpls>
      </n>
    </entries>
    <sets count="2">
      <set count="1" maxRank="1" setDefinition="{[CLIENTS].[Type].[All]}">
        <tpls c="1">
          <tpl hier="11" item="4294967295"/>
        </tpls>
      </set>
      <set count="15" maxRank="1" setDefinition="{([CLIENTS].[Client Name].&amp;[Ineom Investissement 2 SA]),([CLIENTS].[Client Name].&amp;[2LS Investissement SA]),([CLIENTS].[Client Name].&amp;[GIF Genève Investissement &amp; Finance (Suisse) SA]),([CLIENTS].[Client Name].&amp;[A.R.G. Architecture Réalisations Gestion S. à r.l.]),([CLIENTS].[Client Name].&amp;[L&amp;L investissements SA]),([CLIENTS].[Client Name].&amp;[Ecogestion Solutions Environnementales Sàrl]),([CLIENTS].[Client Name].&amp;[SIFINA SA Société d'Investissements Financiers]),([CLIENTS].[Client Name].&amp;[Investissements.NE SA]),([CLIENTS].[Client Name].&amp;[LOUP INVESTISSEMENT SA]),([CLIENTS].[Client Name].&amp;[dpm finances et consulting sàrl]),([CLIENTS].[Client Name].&amp;[Prima Investissements SA]),([CLIENTS].[Client Name].&amp;[SDCI Constructions Investissements SA]),([CLIENTS].[Client Name].&amp;[BMB Gestion Sàrl]),([CLIENTS].[Client Name].&amp;[PI Parc Investissements SA]),([CLIENTS].[Client Name].&amp;[DENTIA Gestion Sàrl])}">
        <tpls c="1">
          <tpl fld="1" item="14"/>
        </tpls>
      </set>
    </sets>
    <queryCache count="17">
      <query mdx="[Measures].[Turnover]">
        <tpls c="1">
          <tpl fld="0" item="0"/>
        </tpls>
      </query>
      <query mdx="[Measures].[NB invoices]">
        <tpls c="1">
          <tpl fld="0" item="1"/>
        </tpls>
      </query>
      <query mdx="[CLIENTS].[Client Name].&amp;[DENTIA Gestion Sàrl]">
        <tpls c="1">
          <tpl fld="1" item="0"/>
        </tpls>
      </query>
      <query mdx="[CLIENTS].[Client Name].&amp;[PI Parc Investissements SA]">
        <tpls c="1">
          <tpl fld="1" item="1"/>
        </tpls>
      </query>
      <query mdx="[CLIENTS].[Client Name].&amp;[BMB Gestion Sàrl]">
        <tpls c="1">
          <tpl fld="1" item="2"/>
        </tpls>
      </query>
      <query mdx="[CLIENTS].[Client Name].&amp;[SDCI Constructions Investissements SA]">
        <tpls c="1">
          <tpl fld="1" item="3"/>
        </tpls>
      </query>
      <query mdx="[CLIENTS].[Client Name].&amp;[Prima Investissements SA]">
        <tpls c="1">
          <tpl fld="1" item="4"/>
        </tpls>
      </query>
      <query mdx="[CLIENTS].[Client Name].&amp;[dpm finances et consulting sàrl]">
        <tpls c="1">
          <tpl fld="1" item="5"/>
        </tpls>
      </query>
      <query mdx="[CLIENTS].[Client Name].&amp;[LOUP INVESTISSEMENT SA]">
        <tpls c="1">
          <tpl fld="1" item="6"/>
        </tpls>
      </query>
      <query mdx="[CLIENTS].[Client Name].&amp;[Investissements.NE SA]">
        <tpls c="1">
          <tpl fld="1" item="7"/>
        </tpls>
      </query>
      <query mdx="[CLIENTS].[Client Name].&amp;[SIFINA SA Société d'Investissements Financiers]">
        <tpls c="1">
          <tpl fld="1" item="8"/>
        </tpls>
      </query>
      <query mdx="[CLIENTS].[Client Name].&amp;[Ecogestion Solutions Environnementales Sàrl]">
        <tpls c="1">
          <tpl fld="1" item="9"/>
        </tpls>
      </query>
      <query mdx="[CLIENTS].[Client Name].&amp;[L&amp;L investissements SA]">
        <tpls c="1">
          <tpl fld="1" item="10"/>
        </tpls>
      </query>
      <query mdx="[CLIENTS].[Client Name].&amp;[A.R.G. Architecture Réalisations Gestion S. à r.l.]">
        <tpls c="1">
          <tpl fld="1" item="11"/>
        </tpls>
      </query>
      <query mdx="[CLIENTS].[Client Name].&amp;[GIF Genève Investissement &amp; Finance (Suisse) SA]">
        <tpls c="1">
          <tpl fld="1" item="12"/>
        </tpls>
      </query>
      <query mdx="[CLIENTS].[Client Name].&amp;[2LS Investissement SA]">
        <tpls c="1">
          <tpl fld="1" item="13"/>
        </tpls>
      </query>
      <query mdx="[CLIENTS].[Client Name].&amp;[Ineom Investissement 2 SA]">
        <tpls c="1">
          <tpl fld="1" item="14"/>
        </tpls>
      </query>
    </queryCache>
    <serverFormats count="2">
      <serverFormat format=""/>
      <serverFormat format="#,0 &quot;CHF&quot;;-#,0 &quot;CHF&quot;;#,0 &quot;CHF&quo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7.997978009262" createdVersion="3" refreshedVersion="8" minRefreshableVersion="3" recordCount="0" supportSubquery="1" supportAdvancedDrill="1" xr:uid="{5AC78A29-54D2-419C-852C-398BDEF5257B}">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IENTS].[clientID]" caption="clientID" attribute="1" defaultMemberUniqueName="[CLIENTS].[clientID].[All]" allUniqueName="[CLIENTS].[clientID].[All]" dimensionUniqueName="[CLIENTS]" displayFolder="" count="0" memberValueDatatype="5" unbalanced="0"/>
    <cacheHierarchy uniqueName="[CLIENTS].[Client Name]" caption="Client Name" attribute="1" defaultMemberUniqueName="[CLIENTS].[Client Name].[All]" allUniqueName="[CLIENTS].[Client Name].[All]" dimensionUniqueName="[CLIENTS]" displayFolder="" count="0" memberValueDatatype="130" unbalanced="0"/>
    <cacheHierarchy uniqueName="[CLIENTS].[IDE]" caption="IDE" attribute="1" defaultMemberUniqueName="[CLIENTS].[IDE].[All]" allUniqueName="[CLIENTS].[IDE].[All]" dimensionUniqueName="[CLIENTS]" displayFolder="" count="0" memberValueDatatype="130" unbalanced="0"/>
    <cacheHierarchy uniqueName="[CLIENTS].[Type]" caption="Type" attribute="1" defaultMemberUniqueName="[CLIENTS].[Type].[All]" allUniqueName="[CLIENTS].[Type].[All]" dimensionUniqueName="[CLIENTS]" displayFolder="" count="0" memberValueDatatype="130" unbalanced="0"/>
    <cacheHierarchy uniqueName="[CLIENTS].[Location]" caption="Location" attribute="1" defaultMemberUniqueName="[CLIENTS].[Location].[All]" allUniqueName="[CLIENTS].[Location].[All]" dimensionUniqueName="[CLIENTS]" displayFolder="" count="0" memberValueDatatype="130" unbalanced="0"/>
    <cacheHierarchy uniqueName="[CLIENTS].[Canton]" caption="Canton" attribute="1" defaultMemberUniqueName="[CLIENTS].[Canton].[All]" allUniqueName="[CLIENTS].[Canton].[All]" dimensionUniqueName="[CLIENTS]" displayFolder="" count="2" memberValueDatatype="130" unbalanced="0"/>
    <cacheHierarchy uniqueName="[dimCat].[catid]" caption="catid" attribute="1" defaultMemberUniqueName="[dimCat].[catid].[All]" allUniqueName="[dimCat].[catid].[All]" dimensionUniqueName="[dimCat]" displayFolder="" count="0" memberValueDatatype="20" unbalanced="0"/>
    <cacheHierarchy uniqueName="[dimCat].[Category]" caption="Category" attribute="1" defaultMemberUniqueName="[dimCat].[Category].[All]" allUniqueName="[dimCat].[Category].[All]" dimensionUniqueName="[dimCat]" displayFolder="" count="0" memberValueDatatype="130" unbalanced="0"/>
    <cacheHierarchy uniqueName="[INVOICES].[lineNB]" caption="lineNB" attribute="1" defaultMemberUniqueName="[INVOICES].[lineNB].[All]" allUniqueName="[INVOICES].[lineNB].[All]" dimensionUniqueName="[INVOICES]" displayFolder="" count="0" memberValueDatatype="5" unbalanced="0"/>
    <cacheHierarchy uniqueName="[INVOICES].[invoiceID]" caption="invoiceID" attribute="1" defaultMemberUniqueName="[INVOICES].[invoiceID].[All]" allUniqueName="[INVOICES].[invoiceID].[All]" dimensionUniqueName="[INVOICES]" displayFolder="" count="0" memberValueDatatype="130" unbalanced="0"/>
    <cacheHierarchy uniqueName="[INVOICES].[clientID]" caption="clientID" attribute="1" defaultMemberUniqueName="[INVOICES].[clientID].[All]" allUniqueName="[INVOICES].[clientID].[All]" dimensionUniqueName="[INVOICES]" displayFolder="" count="0" memberValueDatatype="5" unbalanced="0"/>
    <cacheHierarchy uniqueName="[INVOICES].[serviceID]" caption="serviceID" attribute="1" defaultMemberUniqueName="[INVOICES].[serviceID].[All]" allUniqueName="[INVOICES].[serviceID].[All]" dimensionUniqueName="[INVOICES]" displayFolder="" count="0" memberValueDatatype="5" unbalanced="0"/>
    <cacheHierarchy uniqueName="[INVOICES].[NBHoursSold]" caption="NBHoursSold" attribute="1" defaultMemberUniqueName="[INVOICES].[NBHoursSold].[All]" allUniqueName="[INVOICES].[NBHoursSold].[All]" dimensionUniqueName="[INVOICES]" displayFolder="" count="0" memberValueDatatype="5" unbalanced="0"/>
    <cacheHierarchy uniqueName="[INVOICES].[date]" caption="date" attribute="1" time="1" defaultMemberUniqueName="[INVOICES].[date].[All]" allUniqueName="[INVOICES].[date].[All]" dimensionUniqueName="[INVOICES]" displayFolder="" count="0" memberValueDatatype="7" unbalanced="0"/>
    <cacheHierarchy uniqueName="[INVOICES].[Total sale]" caption="Total sale" attribute="1" defaultMemberUniqueName="[INVOICES].[Total sale].[All]" allUniqueName="[INVOICES].[Total sale].[All]" dimensionUniqueName="[INVOICES]" displayFolder="" count="0" memberValueDatatype="5" unbalanced="0"/>
    <cacheHierarchy uniqueName="[INVOICES].[Total Cost]" caption="Total Cost" attribute="1" defaultMemberUniqueName="[INVOICES].[Total Cost].[All]" allUniqueName="[INVOICES].[Total Cost].[All]" dimensionUniqueName="[INVOICES]" displayFolder="" count="0" memberValueDatatype="5" unbalanced="0"/>
    <cacheHierarchy uniqueName="[INVOICES].[Profit]" caption="Profit" attribute="1" defaultMemberUniqueName="[INVOICES].[Profit].[All]" allUniqueName="[INVOICES].[Profit].[All]" dimensionUniqueName="[INVOICES]" displayFolder="" count="0" memberValueDatatype="5" unbalanced="0"/>
    <cacheHierarchy uniqueName="[INVOICES].[Profit %]" caption="Profit %" attribute="1" defaultMemberUniqueName="[INVOICES].[Profit %].[All]" allUniqueName="[INVOICES].[Profit %].[All]" dimensionUniqueName="[INVOICES]" displayFolder="" count="0" memberValueDatatype="5" unbalanced="0"/>
    <cacheHierarchy uniqueName="[SERVICES].[lineNB]" caption="lineNB" attribute="1" defaultMemberUniqueName="[SERVICES].[lineNB].[All]" allUniqueName="[SERVICES].[lineNB].[All]" dimensionUniqueName="[SERVICES]" displayFolder="" count="0" memberValueDatatype="5" unbalanced="0"/>
    <cacheHierarchy uniqueName="[SERVICES].[Subcategory]" caption="Subcategory" attribute="1" defaultMemberUniqueName="[SERVICES].[Subcategory].[All]" allUniqueName="[SERVICES].[Subcategory].[All]" dimensionUniqueName="[SERVICES]" displayFolder="" count="0" memberValueDatatype="5" unbalanced="0"/>
    <cacheHierarchy uniqueName="[SERVICES].[Reference]" caption="Reference" attribute="1" defaultMemberUniqueName="[SERVICES].[Reference].[All]" allUniqueName="[SERVICES].[Reference].[All]" dimensionUniqueName="[SERVICES]" displayFolder="" count="0" memberValueDatatype="130" unbalanced="0"/>
    <cacheHierarchy uniqueName="[SERVICES].[hr_services]" caption="hr_services" defaultMemberUniqueName="[SERVICES].[hr_services].[All]" allUniqueName="[SERVICES].[hr_services].[All]" dimensionUniqueName="[SERVICES]" displayFolder="" count="0" unbalanced="0"/>
    <cacheHierarchy uniqueName="[SERVICES].[Description]" caption="Description" attribute="1" defaultMemberUniqueName="[SERVICES].[Description].[All]" allUniqueName="[SERVICES].[Description].[All]" dimensionUniqueName="[SERVICES]" displayFolder="" count="0" memberValueDatatype="130" unbalanced="0"/>
    <cacheHierarchy uniqueName="[SERVICES].[Rate per hour]" caption="Rate per hour" attribute="1" defaultMemberUniqueName="[SERVICES].[Rate per hour].[All]" allUniqueName="[SERVICES].[Rate per hour].[All]" dimensionUniqueName="[SERVICES]" displayFolder="" count="0"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0" memberValueDatatype="5" unbalanced="0"/>
    <cacheHierarchy uniqueName="[SERVICES].[SubCatName]" caption="SubCatName" attribute="1" defaultMemberUniqueName="[SERVICES].[SubCatName].[All]" allUniqueName="[SERVICES].[SubCatName].[All]" dimensionUniqueName="[SERVICES]" displayFolder="" count="0" memberValueDatatype="130" unbalanced="0"/>
    <cacheHierarchy uniqueName="[SERVICES].[CatName]" caption="CatName" attribute="1" defaultMemberUniqueName="[SERVICES].[CatName].[All]" allUniqueName="[SERVICES].[CatName].[All]" dimensionUniqueName="[SERVICES]" displayFolder="" count="0" memberValueDatatype="130" unbalanced="0"/>
    <cacheHierarchy uniqueName="[SUBCAT].[CATID]" caption="CATID" attribute="1" defaultMemberUniqueName="[SUBCAT].[CATID].[All]" allUniqueName="[SUBCAT].[CATID].[All]" dimensionUniqueName="[SUBCAT]" displayFolder="" count="0" memberValueDatatype="5" unbalanced="0"/>
    <cacheHierarchy uniqueName="[SUBCAT].[SUBCATID]" caption="SUBCATID" attribute="1" defaultMemberUniqueName="[SUBCAT].[SUBCATID].[All]" allUniqueName="[SUBCAT].[SUBCATID].[All]" dimensionUniqueName="[SUBCAT]" displayFolder="" count="0" memberValueDatatype="5" unbalanced="0"/>
    <cacheHierarchy uniqueName="[SUBCAT].[Subcategory]" caption="Subcategory" attribute="1" defaultMemberUniqueName="[SUBCAT].[Subcategory].[All]" allUniqueName="[SUBCAT].[Subcategory].[All]" dimensionUniqueName="[SUBCAT]" displayFolder="" count="0" memberValueDatatype="130" unbalanced="0"/>
    <cacheHierarchy uniqueName="[Measures].[Global Costs]" caption="Global Costs" measure="1" displayFolder="" measureGroup="INVOICES" count="0"/>
    <cacheHierarchy uniqueName="[Measures].[Global Profit]" caption="Global Profit" measure="1" displayFolder="" measureGroup="INVOICES" count="0"/>
    <cacheHierarchy uniqueName="[Measures].[AVG Profit %]" caption="AVG Profit %" measure="1" displayFolder="" measureGroup="INVOICES" count="0"/>
    <cacheHierarchy uniqueName="[Measures].[NB invoices]" caption="NB invoices" measure="1" displayFolder="" measureGroup="INVOICES" count="0"/>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cacheHierarchy uniqueName="[Measures].[Turnover LY]" caption="Turnover LY" measure="1" displayFolder="" measureGroup="INVOICES" count="0"/>
    <cacheHierarchy uniqueName="[Measures].[Turnover]" caption="Turnover" measure="1" displayFolder="" measureGroup="INVOICES" count="0"/>
    <cacheHierarchy uniqueName="[Measures].[Turnover comp]" caption="Turnover comp" measure="1" displayFolder="" measureGroup="INVOICES" count="0"/>
    <cacheHierarchy uniqueName="[Measures].[Profit LY]" caption="Profit LY" measure="1" displayFolder="" measureGroup="INVOICES" count="0"/>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hidden="1"/>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hidden="1"/>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extLst>
    <ext xmlns:x14="http://schemas.microsoft.com/office/spreadsheetml/2009/9/main" uri="{725AE2AE-9491-48be-B2B4-4EB974FC3084}">
      <x14:pivotCacheDefinition slicerData="1" pivotCacheId="21198404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8.010636921295" createdVersion="3" refreshedVersion="8" minRefreshableVersion="3" recordCount="0" supportSubquery="1" supportAdvancedDrill="1" xr:uid="{126B24EA-4CDB-4B1E-B3FE-4DED5BAC5317}">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IENTS].[clientID]" caption="clientID" attribute="1" defaultMemberUniqueName="[CLIENTS].[clientID].[All]" allUniqueName="[CLIENTS].[clientID].[All]" dimensionUniqueName="[CLIENTS]" displayFolder="" count="0" memberValueDatatype="5" unbalanced="0"/>
    <cacheHierarchy uniqueName="[CLIENTS].[Client Name]" caption="Client Name" attribute="1" defaultMemberUniqueName="[CLIENTS].[Client Name].[All]" allUniqueName="[CLIENTS].[Client Name].[All]" dimensionUniqueName="[CLIENTS]" displayFolder="" count="0" memberValueDatatype="130" unbalanced="0"/>
    <cacheHierarchy uniqueName="[CLIENTS].[IDE]" caption="IDE" attribute="1" defaultMemberUniqueName="[CLIENTS].[IDE].[All]" allUniqueName="[CLIENTS].[IDE].[All]" dimensionUniqueName="[CLIENTS]" displayFolder="" count="0" memberValueDatatype="130" unbalanced="0"/>
    <cacheHierarchy uniqueName="[CLIENTS].[Type]" caption="Type" attribute="1" defaultMemberUniqueName="[CLIENTS].[Type].[All]" allUniqueName="[CLIENTS].[Type].[All]" dimensionUniqueName="[CLIENTS]" displayFolder="" count="2" memberValueDatatype="130" unbalanced="0"/>
    <cacheHierarchy uniqueName="[CLIENTS].[Location]" caption="Location" attribute="1" defaultMemberUniqueName="[CLIENTS].[Location].[All]" allUniqueName="[CLIENTS].[Location].[All]" dimensionUniqueName="[CLIENTS]" displayFolder="" count="0" memberValueDatatype="130" unbalanced="0"/>
    <cacheHierarchy uniqueName="[CLIENTS].[Canton]" caption="Canton" attribute="1" defaultMemberUniqueName="[CLIENTS].[Canton].[All]" allUniqueName="[CLIENTS].[Canton].[All]" dimensionUniqueName="[CLIENTS]" displayFolder="" count="0" memberValueDatatype="130" unbalanced="0"/>
    <cacheHierarchy uniqueName="[dimCat].[catid]" caption="catid" attribute="1" defaultMemberUniqueName="[dimCat].[catid].[All]" allUniqueName="[dimCat].[catid].[All]" dimensionUniqueName="[dimCat]" displayFolder="" count="0" memberValueDatatype="20" unbalanced="0"/>
    <cacheHierarchy uniqueName="[dimCat].[Category]" caption="Category" attribute="1" defaultMemberUniqueName="[dimCat].[Category].[All]" allUniqueName="[dimCat].[Category].[All]" dimensionUniqueName="[dimCat]" displayFolder="" count="0" memberValueDatatype="130" unbalanced="0"/>
    <cacheHierarchy uniqueName="[INVOICES].[lineNB]" caption="lineNB" attribute="1" defaultMemberUniqueName="[INVOICES].[lineNB].[All]" allUniqueName="[INVOICES].[lineNB].[All]" dimensionUniqueName="[INVOICES]" displayFolder="" count="0" memberValueDatatype="5" unbalanced="0"/>
    <cacheHierarchy uniqueName="[INVOICES].[invoiceID]" caption="invoiceID" attribute="1" defaultMemberUniqueName="[INVOICES].[invoiceID].[All]" allUniqueName="[INVOICES].[invoiceID].[All]" dimensionUniqueName="[INVOICES]" displayFolder="" count="0" memberValueDatatype="130" unbalanced="0"/>
    <cacheHierarchy uniqueName="[INVOICES].[clientID]" caption="clientID" attribute="1" defaultMemberUniqueName="[INVOICES].[clientID].[All]" allUniqueName="[INVOICES].[clientID].[All]" dimensionUniqueName="[INVOICES]" displayFolder="" count="0" memberValueDatatype="5" unbalanced="0"/>
    <cacheHierarchy uniqueName="[INVOICES].[serviceID]" caption="serviceID" attribute="1" defaultMemberUniqueName="[INVOICES].[serviceID].[All]" allUniqueName="[INVOICES].[serviceID].[All]" dimensionUniqueName="[INVOICES]" displayFolder="" count="0" memberValueDatatype="5" unbalanced="0"/>
    <cacheHierarchy uniqueName="[INVOICES].[NBHoursSold]" caption="NBHoursSold" attribute="1" defaultMemberUniqueName="[INVOICES].[NBHoursSold].[All]" allUniqueName="[INVOICES].[NBHoursSold].[All]" dimensionUniqueName="[INVOICES]" displayFolder="" count="0" memberValueDatatype="5" unbalanced="0"/>
    <cacheHierarchy uniqueName="[INVOICES].[date]" caption="date" attribute="1" time="1" defaultMemberUniqueName="[INVOICES].[date].[All]" allUniqueName="[INVOICES].[date].[All]" dimensionUniqueName="[INVOICES]" displayFolder="" count="0" memberValueDatatype="7" unbalanced="0"/>
    <cacheHierarchy uniqueName="[INVOICES].[Total sale]" caption="Total sale" attribute="1" defaultMemberUniqueName="[INVOICES].[Total sale].[All]" allUniqueName="[INVOICES].[Total sale].[All]" dimensionUniqueName="[INVOICES]" displayFolder="" count="0" memberValueDatatype="5" unbalanced="0"/>
    <cacheHierarchy uniqueName="[INVOICES].[Total Cost]" caption="Total Cost" attribute="1" defaultMemberUniqueName="[INVOICES].[Total Cost].[All]" allUniqueName="[INVOICES].[Total Cost].[All]" dimensionUniqueName="[INVOICES]" displayFolder="" count="0" memberValueDatatype="5" unbalanced="0"/>
    <cacheHierarchy uniqueName="[INVOICES].[Profit]" caption="Profit" attribute="1" defaultMemberUniqueName="[INVOICES].[Profit].[All]" allUniqueName="[INVOICES].[Profit].[All]" dimensionUniqueName="[INVOICES]" displayFolder="" count="0" memberValueDatatype="5" unbalanced="0"/>
    <cacheHierarchy uniqueName="[INVOICES].[Profit %]" caption="Profit %" attribute="1" defaultMemberUniqueName="[INVOICES].[Profit %].[All]" allUniqueName="[INVOICES].[Profit %].[All]" dimensionUniqueName="[INVOICES]" displayFolder="" count="0" memberValueDatatype="5" unbalanced="0"/>
    <cacheHierarchy uniqueName="[SERVICES].[lineNB]" caption="lineNB" attribute="1" defaultMemberUniqueName="[SERVICES].[lineNB].[All]" allUniqueName="[SERVICES].[lineNB].[All]" dimensionUniqueName="[SERVICES]" displayFolder="" count="0" memberValueDatatype="5" unbalanced="0"/>
    <cacheHierarchy uniqueName="[SERVICES].[Subcategory]" caption="Subcategory" attribute="1" defaultMemberUniqueName="[SERVICES].[Subcategory].[All]" allUniqueName="[SERVICES].[Subcategory].[All]" dimensionUniqueName="[SERVICES]" displayFolder="" count="0" memberValueDatatype="5" unbalanced="0"/>
    <cacheHierarchy uniqueName="[SERVICES].[Reference]" caption="Reference" attribute="1" defaultMemberUniqueName="[SERVICES].[Reference].[All]" allUniqueName="[SERVICES].[Reference].[All]" dimensionUniqueName="[SERVICES]" displayFolder="" count="0" memberValueDatatype="130" unbalanced="0"/>
    <cacheHierarchy uniqueName="[SERVICES].[hr_services]" caption="hr_services" defaultMemberUniqueName="[SERVICES].[hr_services].[All]" allUniqueName="[SERVICES].[hr_services].[All]" dimensionUniqueName="[SERVICES]" displayFolder="" count="0" unbalanced="0"/>
    <cacheHierarchy uniqueName="[SERVICES].[Description]" caption="Description" attribute="1" defaultMemberUniqueName="[SERVICES].[Description].[All]" allUniqueName="[SERVICES].[Description].[All]" dimensionUniqueName="[SERVICES]" displayFolder="" count="0" memberValueDatatype="130" unbalanced="0"/>
    <cacheHierarchy uniqueName="[SERVICES].[Rate per hour]" caption="Rate per hour" attribute="1" defaultMemberUniqueName="[SERVICES].[Rate per hour].[All]" allUniqueName="[SERVICES].[Rate per hour].[All]" dimensionUniqueName="[SERVICES]" displayFolder="" count="0" memberValueDatatype="5" unbalanced="0"/>
    <cacheHierarchy uniqueName="[SERVICES].[COSS Cost of services sold]" caption="COSS Cost of services sold" attribute="1" defaultMemberUniqueName="[SERVICES].[COSS Cost of services sold].[All]" allUniqueName="[SERVICES].[COSS Cost of services sold].[All]" dimensionUniqueName="[SERVICES]" displayFolder="" count="0" memberValueDatatype="5" unbalanced="0"/>
    <cacheHierarchy uniqueName="[SERVICES].[SubCatName]" caption="SubCatName" attribute="1" defaultMemberUniqueName="[SERVICES].[SubCatName].[All]" allUniqueName="[SERVICES].[SubCatName].[All]" dimensionUniqueName="[SERVICES]" displayFolder="" count="0" memberValueDatatype="130" unbalanced="0"/>
    <cacheHierarchy uniqueName="[SERVICES].[CatName]" caption="CatName" attribute="1" defaultMemberUniqueName="[SERVICES].[CatName].[All]" allUniqueName="[SERVICES].[CatName].[All]" dimensionUniqueName="[SERVICES]" displayFolder="" count="0" memberValueDatatype="130" unbalanced="0"/>
    <cacheHierarchy uniqueName="[SUBCAT].[CATID]" caption="CATID" attribute="1" defaultMemberUniqueName="[SUBCAT].[CATID].[All]" allUniqueName="[SUBCAT].[CATID].[All]" dimensionUniqueName="[SUBCAT]" displayFolder="" count="0" memberValueDatatype="5" unbalanced="0"/>
    <cacheHierarchy uniqueName="[SUBCAT].[SUBCATID]" caption="SUBCATID" attribute="1" defaultMemberUniqueName="[SUBCAT].[SUBCATID].[All]" allUniqueName="[SUBCAT].[SUBCATID].[All]" dimensionUniqueName="[SUBCAT]" displayFolder="" count="0" memberValueDatatype="5" unbalanced="0"/>
    <cacheHierarchy uniqueName="[SUBCAT].[Subcategory]" caption="Subcategory" attribute="1" defaultMemberUniqueName="[SUBCAT].[Subcategory].[All]" allUniqueName="[SUBCAT].[Subcategory].[All]" dimensionUniqueName="[SUBCAT]" displayFolder="" count="0" memberValueDatatype="130" unbalanced="0"/>
    <cacheHierarchy uniqueName="[Measures].[Global Costs]" caption="Global Costs" measure="1" displayFolder="" measureGroup="INVOICES" count="0"/>
    <cacheHierarchy uniqueName="[Measures].[Global Profit]" caption="Global Profit" measure="1" displayFolder="" measureGroup="INVOICES" count="0"/>
    <cacheHierarchy uniqueName="[Measures].[AVG Profit %]" caption="AVG Profit %" measure="1" displayFolder="" measureGroup="INVOICES" count="0"/>
    <cacheHierarchy uniqueName="[Measures].[NB invoices]" caption="NB invoices" measure="1" displayFolder="" measureGroup="INVOICES" count="0"/>
    <cacheHierarchy uniqueName="[Measures].[AVG sale]" caption="AVG sale" measure="1" displayFolder="" measureGroup="INVOICES" count="0"/>
    <cacheHierarchy uniqueName="[Measures].[Total NB of Hours unfiltered]" caption="Total NB of Hours unfiltered" measure="1" displayFolder="" measureGroup="INVOICES" count="0"/>
    <cacheHierarchy uniqueName="[Measures].[TOTAL NBHours]" caption="TOTAL NBHours" measure="1" displayFolder="" measureGroup="INVOICES" count="0"/>
    <cacheHierarchy uniqueName="[Measures].[TURNOVER unfiltered]" caption="TURNOVER unfiltered" measure="1" displayFolder="" measureGroup="INVOICES" count="0"/>
    <cacheHierarchy uniqueName="[Measures].[NB invoices unfiltered]" caption="NB invoices unfiltered" measure="1" displayFolder="" measureGroup="INVOICES" count="0"/>
    <cacheHierarchy uniqueName="[Measures].[% CY]" caption="% CY" measure="1" displayFolder="" measureGroup="INVOICES" count="0"/>
    <cacheHierarchy uniqueName="[Measures].[Turnover LY]" caption="Turnover LY" measure="1" displayFolder="" measureGroup="INVOICES" count="0"/>
    <cacheHierarchy uniqueName="[Measures].[Turnover]" caption="Turnover" measure="1" displayFolder="" measureGroup="INVOICES" count="0"/>
    <cacheHierarchy uniqueName="[Measures].[Turnover comp]" caption="Turnover comp" measure="1" displayFolder="" measureGroup="INVOICES" count="0"/>
    <cacheHierarchy uniqueName="[Measures].[Profit LY]" caption="Profit LY" measure="1" displayFolder="" measureGroup="INVOICES" count="0"/>
    <cacheHierarchy uniqueName="[Measures].[__XL_Count CLIENTS]" caption="__XL_Count CLIENTS" measure="1" displayFolder="" measureGroup="CLIENTS" count="0" hidden="1"/>
    <cacheHierarchy uniqueName="[Measures].[__XL_Count INVOICES]" caption="__XL_Count INVOICES" measure="1" displayFolder="" measureGroup="INVOICES" count="0" hidden="1"/>
    <cacheHierarchy uniqueName="[Measures].[__XL_Count SUBCAT]" caption="__XL_Count SUBCAT" measure="1" displayFolder="" measureGroup="SUBCAT" count="0" hidden="1"/>
    <cacheHierarchy uniqueName="[Measures].[__XL_Count dimCat]" caption="__XL_Count dimCat" measure="1" displayFolder="" measureGroup="dimCat" count="0" hidden="1"/>
    <cacheHierarchy uniqueName="[Measures].[__XL_Count Calendar]" caption="__XL_Count Calendar" measure="1" displayFolder="" measureGroup="Calendar" count="0" hidden="1"/>
    <cacheHierarchy uniqueName="[Measures].[__XL_Count SERVICES]" caption="__XL_Count SERVICES" measure="1" displayFolder="" measureGroup="SERVICES" count="0" hidden="1"/>
    <cacheHierarchy uniqueName="[Measures].[__No measures defined]" caption="__No measures defined" measure="1" displayFolder="" count="0" hidden="1"/>
    <cacheHierarchy uniqueName="[Measures].[_Turnover Goal]" caption="_Turnover Goal" measure="1" displayFolder="" measureGroup="INVOICES" count="0" hidden="1"/>
    <cacheHierarchy uniqueName="[Measures].[_Turnover Status]" caption="_Turnover Status" measure="1" iconSet="6" displayFolder="" measureGroup="INVOICES" count="0" hidden="1"/>
    <cacheHierarchy uniqueName="[Measures].[_Turnover comp Goal]" caption="_Turnover comp Goal" measure="1" displayFolder="" measureGroup="INVOICES" count="0" hidden="1"/>
    <cacheHierarchy uniqueName="[Measures].[_Turnover comp Status]" caption="_Turnover comp Status" measure="1" iconSet="11" displayFolder="" measureGroup="INVOICES" count="0" hidden="1"/>
  </cacheHierarchies>
  <kpis count="2">
    <kpi uniqueName="Turnover" caption="Turnover" displayFolder="" measureGroup="INVOICES" parent="" value="[Measures].[Turnover]" goal="[Measures].[_Turnover Goal]" status="[Measures].[_Turnover Status]" trend="" weight=""/>
    <kpi uniqueName="Turnover comp" caption="Turnover comp" displayFolder="" measureGroup="INVOICES" parent="" value="[Measures].[Turnover comp]" goal="[Measures].[_Turnover comp Goal]" status="[Measures].[_Turnover comp Status]" trend="" weight=""/>
  </kpis>
  <extLst>
    <ext xmlns:x14="http://schemas.microsoft.com/office/spreadsheetml/2009/9/main" uri="{725AE2AE-9491-48be-B2B4-4EB974FC3084}">
      <x14:pivotCacheDefinition slicerData="1" pivotCacheId="1929479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4C2F5-0B16-4FC1-B1E5-C0B4A3E25221}" name="PivotTable2" cacheId="5" applyNumberFormats="0" applyBorderFormats="0" applyFontFormats="0" applyPatternFormats="0" applyAlignmentFormats="0" applyWidthHeightFormats="1" dataCaption="Values" tag="a6bd367e-4d71-49fd-b62b-a3abf63910ef" updatedVersion="8" minRefreshableVersion="3" useAutoFormatting="1" subtotalHiddenItems="1" itemPrintTitles="1" createdVersion="5" indent="0" outline="1" outlineData="1" multipleFieldFilters="0" chartFormat="12">
  <location ref="A3:G8" firstHeaderRow="1" firstDataRow="3" firstDataCol="1" rowPageCount="1" colPageCount="1"/>
  <pivotFields count="7">
    <pivotField dataField="1" subtotalTop="0" showAll="0" defaultSubtotal="0"/>
    <pivotField axis="axisCol" allDrilled="1" subtotalTop="0" showAll="0" insertBlankRow="1" dataSourceSort="1" defaultAttributeDrillState="1">
      <items count="3">
        <item x="0"/>
        <item x="1"/>
        <item t="default"/>
      </items>
    </pivotField>
    <pivotField dataField="1" subtotalTop="0" showAll="0" insertBlankRow="1"/>
    <pivotField axis="axisRow" allDrilled="1" subtotalTop="0" showAll="0" insertBlankRow="1" dataSourceSort="1">
      <items count="3">
        <item c="1" x="0"/>
        <item c="1" x="1"/>
        <item t="default"/>
      </items>
    </pivotField>
    <pivotField axis="axisRow" subtotalTop="0" showAll="0" insertBlankRow="1" dataSourceSort="1">
      <items count="1">
        <item t="default"/>
      </items>
    </pivotField>
    <pivotField axis="axisRow" subtotalTop="0" showAll="0" insertBlankRow="1" dataSourceSort="1">
      <items count="1">
        <item t="default"/>
      </items>
    </pivotField>
    <pivotField axis="axisPage" allDrilled="1" subtotalTop="0" showAll="0" insertBlankRow="1" dataSourceSort="1" defaultAttributeDrillState="1">
      <items count="1">
        <item t="default"/>
      </items>
    </pivotField>
  </pivotFields>
  <rowFields count="1">
    <field x="3"/>
  </rowFields>
  <rowItems count="3">
    <i>
      <x/>
    </i>
    <i>
      <x v="1"/>
    </i>
    <i t="grand">
      <x/>
    </i>
  </rowItems>
  <colFields count="2">
    <field x="1"/>
    <field x="-2"/>
  </colFields>
  <colItems count="6">
    <i>
      <x/>
      <x/>
    </i>
    <i r="1" i="1">
      <x v="1"/>
    </i>
    <i>
      <x v="1"/>
      <x/>
    </i>
    <i r="1" i="1">
      <x v="1"/>
    </i>
    <i t="grand">
      <x/>
    </i>
    <i t="grand" i="1">
      <x/>
    </i>
  </colItems>
  <pageFields count="1">
    <pageField fld="6" hier="2" name="[Calendar].[Year].&amp;[2021]" cap="2021"/>
  </pageFields>
  <dataFields count="2">
    <dataField fld="0" subtotal="count" baseField="0" baseItem="0"/>
    <dataField fld="2" subtotal="count" baseField="0" baseItem="0"/>
  </dataFields>
  <chartFormats count="7">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1"/>
          </reference>
          <reference field="1" count="1" selected="0">
            <x v="1"/>
          </reference>
        </references>
      </pivotArea>
    </chartFormat>
    <chartFormat chart="7" format="9" series="1">
      <pivotArea type="data" outline="0" fieldPosition="0">
        <references count="2">
          <reference field="4294967294" count="1" selected="0">
            <x v="1"/>
          </reference>
          <reference field="1"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pivotHierarchy multipleItemSelectionAllowed="1" dragToData="1">
      <members count="2" level="1">
        <member name="[Calendar].[Year].&amp;[2021]"/>
        <member name="[Calendar].[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1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INVOICES]"/>
        <x15:activeTabTopLevelEntity name="[CLIENTS]"/>
        <x15:activeTabTopLevelEntity name="[SERVICES]"/>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977E9-BC65-4CF0-AA7A-7BCACA686812}" name="PivotTable1" cacheId="4" applyNumberFormats="0" applyBorderFormats="0" applyFontFormats="0" applyPatternFormats="0" applyAlignmentFormats="0" applyWidthHeightFormats="1" dataCaption="Values" tag="b9b855d0-4af6-4840-85d4-d02b678aacdf" updatedVersion="8" minRefreshableVersion="3" useAutoFormatting="1" subtotalHiddenItems="1" itemPrintTitles="1" createdVersion="5" indent="0" outline="1" outlineData="1" multipleFieldFilters="0">
  <location ref="A1:I44" firstHeaderRow="0" firstDataRow="1" firstDataCol="1"/>
  <pivotFields count="11">
    <pivotField axis="axisRow" allDrilled="1" subtotalTop="0" showAll="0" insertBlankRow="1" dataSourceSort="1">
      <items count="4">
        <item c="1" x="0"/>
        <item c="1" x="1"/>
        <item c="1" x="2"/>
        <item t="default"/>
      </items>
    </pivotField>
    <pivotField axis="axisRow" allDrilled="1" subtotalTop="0" showAll="0" insertBlankRow="1" dataSourceSort="1">
      <items count="34">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 c="1" x="27"/>
        <item c="1" x="28"/>
        <item c="1" x="29"/>
        <item c="1" x="30"/>
        <item c="1" x="31"/>
        <item c="1" x="32"/>
        <item t="default"/>
      </items>
    </pivotField>
    <pivotField axis="axisRow" subtotalTop="0" showAll="0" insertBlankRow="1" dataSourceSort="1">
      <items count="1">
        <item t="default"/>
      </items>
    </pivotField>
    <pivotField dataField="1" subtotalTop="0" showAll="0" defaultSubtotal="0"/>
    <pivotField dataField="1" subtotalTop="0" showAll="0" defaultSubtotal="0"/>
    <pivotField dataField="1" subtotalTop="0" showAll="0" defaultSubtotal="0"/>
    <pivotField dataField="1" subtotalTop="0" showAll="0" insertBlankRow="1"/>
    <pivotField dataField="1" subtotalTop="0" showAll="0" insertBlankRow="1"/>
    <pivotField dataField="1" subtotalTop="0" showAll="0" insertBlankRow="1"/>
    <pivotField dataField="1" subtotalTop="0" showAll="0" insertBlankRow="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43">
    <i>
      <x/>
    </i>
    <i r="1">
      <x/>
    </i>
    <i r="1">
      <x v="1"/>
    </i>
    <i r="1">
      <x v="2"/>
    </i>
    <i r="1">
      <x v="3"/>
    </i>
    <i r="1">
      <x v="4"/>
    </i>
    <i r="1">
      <x v="5"/>
    </i>
    <i r="1">
      <x v="6"/>
    </i>
    <i r="1">
      <x v="7"/>
    </i>
    <i r="1">
      <x v="8"/>
    </i>
    <i r="1">
      <x v="9"/>
    </i>
    <i r="1">
      <x v="10"/>
    </i>
    <i t="default">
      <x/>
    </i>
    <i t="blank">
      <x/>
    </i>
    <i>
      <x v="1"/>
    </i>
    <i r="1">
      <x v="11"/>
    </i>
    <i r="1">
      <x v="12"/>
    </i>
    <i r="1">
      <x v="13"/>
    </i>
    <i r="1">
      <x v="14"/>
    </i>
    <i r="1">
      <x v="15"/>
    </i>
    <i r="1">
      <x v="16"/>
    </i>
    <i r="1">
      <x v="17"/>
    </i>
    <i r="1">
      <x v="18"/>
    </i>
    <i r="1">
      <x v="19"/>
    </i>
    <i r="1">
      <x v="20"/>
    </i>
    <i r="1">
      <x v="21"/>
    </i>
    <i t="default">
      <x v="1"/>
    </i>
    <i t="blank">
      <x v="1"/>
    </i>
    <i>
      <x v="2"/>
    </i>
    <i r="1">
      <x v="22"/>
    </i>
    <i r="1">
      <x v="23"/>
    </i>
    <i r="1">
      <x v="24"/>
    </i>
    <i r="1">
      <x v="25"/>
    </i>
    <i r="1">
      <x v="26"/>
    </i>
    <i r="1">
      <x v="27"/>
    </i>
    <i r="1">
      <x v="28"/>
    </i>
    <i r="1">
      <x v="29"/>
    </i>
    <i r="1">
      <x v="30"/>
    </i>
    <i r="1">
      <x v="31"/>
    </i>
    <i r="1">
      <x v="32"/>
    </i>
    <i t="default">
      <x v="2"/>
    </i>
    <i t="blank">
      <x v="2"/>
    </i>
    <i t="grand">
      <x/>
    </i>
  </rowItems>
  <colFields count="1">
    <field x="-2"/>
  </colFields>
  <colItems count="8">
    <i>
      <x/>
    </i>
    <i i="1">
      <x v="1"/>
    </i>
    <i i="2">
      <x v="2"/>
    </i>
    <i i="3">
      <x v="3"/>
    </i>
    <i i="4">
      <x v="4"/>
    </i>
    <i i="5">
      <x v="5"/>
    </i>
    <i i="6">
      <x v="6"/>
    </i>
    <i i="7">
      <x v="7"/>
    </i>
  </colItems>
  <dataFields count="8">
    <dataField fld="3" subtotal="count" baseField="0" baseItem="0"/>
    <dataField name="KPI 550K" fld="7" subtotal="count" baseField="0" baseItem="0"/>
    <dataField fld="8" subtotal="count" baseField="0" baseItem="0"/>
    <dataField name="KPI LY" fld="9" subtotal="count" baseField="0" baseItem="0"/>
    <dataField name="% total" fld="10" subtotal="count" showDataAs="percentOfCol" baseField="1" baseItem="0" numFmtId="10">
      <extLst>
        <ext xmlns:x14="http://schemas.microsoft.com/office/spreadsheetml/2009/9/main" uri="{E15A36E0-9728-4e99-A89B-3F7291B0FE68}">
          <x14:dataField sourceField="3" uniqueName="[__Xl2].[Measures].[Turnover]"/>
        </ext>
      </extLst>
    </dataField>
    <dataField fld="6" subtotal="count" baseField="0" baseItem="0"/>
    <dataField fld="4" subtotal="count" baseField="0" baseItem="0"/>
    <dataField fld="5" subtotal="count" baseField="0" baseItem="0"/>
  </dataFields>
  <conditionalFormats count="4">
    <conditionalFormat scope="data" priority="1">
      <pivotAreas count="1">
        <pivotArea outline="0" fieldPosition="0">
          <references count="1">
            <reference field="4294967294" count="1" selected="0">
              <x v="3"/>
            </reference>
          </references>
        </pivotArea>
      </pivotAreas>
    </conditionalFormat>
    <conditionalFormat scope="data" priority="2">
      <pivotAreas count="1">
        <pivotArea outline="0" fieldPosition="0">
          <references count="1">
            <reference field="4294967294" count="1" selected="0">
              <x v="3"/>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 scope="data" priority="5">
      <pivotAreas count="1">
        <pivotArea outline="0" fieldPosition="0">
          <references count="1">
            <reference field="4294967294" count="1" selected="0">
              <x v="1"/>
            </reference>
          </references>
        </pivotArea>
      </pivotAreas>
    </conditionalFormat>
  </conditionalFormats>
  <pivotHierarchies count="6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INVOICES]"/>
        <x15:activeTabTopLevelEntity name="[CLIENTS]"/>
      </x15:pivotTableUISettings>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52B5DF-4BFD-4310-84E7-AD7C6676AC7C}" name="PivotTable2" cacheId="3" applyNumberFormats="0" applyBorderFormats="0" applyFontFormats="0" applyPatternFormats="0" applyAlignmentFormats="0" applyWidthHeightFormats="1" dataCaption="Values" tag="cecdf7fc-c750-49b5-a6da-0a57bdffa1e0" updatedVersion="8" minRefreshableVersion="3" useAutoFormatting="1" subtotalHiddenItems="1" itemPrintTitles="1" createdVersion="5" indent="0" outline="1" outlineData="1" multipleFieldFilters="0" chartFormat="7">
  <location ref="A1:E13" firstHeaderRow="1" firstDataRow="2" firstDataCol="1"/>
  <pivotFields count="6">
    <pivotField dataField="1" subtotalTop="0" showAll="0" defaultSubtotal="0"/>
    <pivotField axis="axisCol" allDrilled="1" subtotalTop="0" showAll="0" insertBlankRow="1" dataSourceSort="1" defaultAttributeDrillState="1">
      <items count="4">
        <item x="0"/>
        <item x="1"/>
        <item x="2"/>
        <item t="default"/>
      </items>
    </pivotField>
    <pivotField axis="axisRow" allDrilled="1" subtotalTop="0" showAll="0" insertBlankRow="1" dataSourceSort="1">
      <items count="11">
        <item c="1" x="0"/>
        <item c="1" x="1"/>
        <item c="1" x="2"/>
        <item c="1" x="3"/>
        <item c="1" x="4"/>
        <item c="1" x="5"/>
        <item c="1" x="6"/>
        <item c="1" x="7"/>
        <item c="1" x="8"/>
        <item c="1" x="9"/>
        <item t="default"/>
      </items>
    </pivotField>
    <pivotField axis="axisRow" subtotalTop="0" showAll="0" insertBlankRow="1" dataSourceSort="1">
      <items count="1">
        <item t="default"/>
      </items>
    </pivotField>
    <pivotField axis="axisRow" subtotalTop="0" showAll="0" insertBlankRow="1" dataSourceSort="1">
      <items count="1">
        <item t="default"/>
      </items>
    </pivotField>
    <pivotField allDrilled="1" subtotalTop="0" showAll="0" insertBlankRow="1" dataSourceSort="1" defaultAttributeDrillState="1"/>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INVOICES]"/>
        <x15:activeTabTopLevelEntity name="[CLIENTS]"/>
        <x15:activeTabTopLevelEntity name="[SERVICES]"/>
      </x15:pivotTableUISettings>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ton" xr10:uid="{60880240-78D1-411F-AE53-188D6481C940}" sourceName="[CLIENTS].[Canton]">
  <pivotTables>
    <pivotTable tabId="2" name="PivotTable2"/>
  </pivotTables>
  <data>
    <olap pivotCacheId="211984049">
      <levels count="2">
        <level uniqueName="[CLIENTS].[Canton].[(All)]" sourceCaption="(All)" count="0"/>
        <level uniqueName="[CLIENTS].[Canton].[Canton]" sourceCaption="Canton" count="15">
          <ranges>
            <range startItem="0">
              <i n="[CLIENTS].[Canton].&amp;[BE]" c="BE"/>
              <i n="[CLIENTS].[Canton].&amp;[BL]" c="BL"/>
              <i n="[CLIENTS].[Canton].&amp;[BS]" c="BS"/>
              <i n="[CLIENTS].[Canton].&amp;[FR]" c="FR"/>
              <i n="[CLIENTS].[Canton].&amp;[GE]" c="GE"/>
              <i n="[CLIENTS].[Canton].&amp;[JU]" c="JU"/>
              <i n="[CLIENTS].[Canton].&amp;[LU]" c="LU"/>
              <i n="[CLIENTS].[Canton].&amp;[NE]" c="NE"/>
              <i n="[CLIENTS].[Canton].&amp;[NW]" c="NW"/>
              <i n="[CLIENTS].[Canton].&amp;[SG]" c="SG"/>
              <i n="[CLIENTS].[Canton].&amp;[TI]" c="TI"/>
              <i n="[CLIENTS].[Canton].&amp;[VD]" c="VD"/>
              <i n="[CLIENTS].[Canton].&amp;[VS]" c="VS"/>
              <i n="[CLIENTS].[Canton].&amp;[ZG]" c="ZG"/>
              <i n="[CLIENTS].[Canton].&amp;[ZH]" c="ZH"/>
            </range>
          </ranges>
        </level>
      </levels>
      <selections count="1">
        <selection n="[CLIENTS].[Cant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44A6CF4-E3AC-40A9-A746-80E4A23C351D}" sourceName="[CLIENTS].[Type]">
  <data>
    <olap pivotCacheId="1929479029">
      <levels count="2">
        <level uniqueName="[CLIENTS].[Type].[(All)]" sourceCaption="(All)" count="0"/>
        <level uniqueName="[CLIENTS].[Type].[Type]" sourceCaption="Type" count="2">
          <ranges>
            <range startItem="0">
              <i n="[CLIENTS].[Type].&amp;[SA]" c="SA"/>
              <i n="[CLIENTS].[Type].&amp;[Sàrl]" c="Sàrl"/>
            </range>
          </ranges>
        </level>
      </levels>
      <selections count="1">
        <selection n="[CLIENTS].[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4607554C-81AF-4D26-9411-F769A71B046C}" cache="Slicer_Type" caption="Type"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ton" xr10:uid="{55F0B186-0371-4E3E-868C-85553FB15333}" cache="Slicer_Canton" caption="Canton" columnCount="15"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515C30-0536-4B3B-8F8E-CA6EE76CEED1}">
  <we:reference id="wa200005271" version="2.5.5.0" store="fr-FR"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AC70-2FC5-46E8-AEEF-F4DA02C0DDD7}">
  <dimension ref="A1:G8"/>
  <sheetViews>
    <sheetView workbookViewId="0">
      <selection activeCell="E7" sqref="E7"/>
    </sheetView>
  </sheetViews>
  <sheetFormatPr defaultRowHeight="15" x14ac:dyDescent="0.25"/>
  <cols>
    <col min="1" max="1" width="13.42578125" bestFit="1" customWidth="1"/>
    <col min="2" max="2" width="17.28515625" bestFit="1" customWidth="1"/>
    <col min="3" max="5" width="13.28515625" bestFit="1" customWidth="1"/>
    <col min="6" max="6" width="17.42578125" bestFit="1" customWidth="1"/>
    <col min="7" max="7" width="13.5703125" bestFit="1" customWidth="1"/>
    <col min="8" max="9" width="11.5703125" bestFit="1" customWidth="1"/>
  </cols>
  <sheetData>
    <row r="1" spans="1:7" x14ac:dyDescent="0.25">
      <c r="A1" s="1" t="s">
        <v>0</v>
      </c>
      <c r="B1" t="s" vm="1">
        <v>1</v>
      </c>
    </row>
    <row r="3" spans="1:7" x14ac:dyDescent="0.25">
      <c r="B3" s="1" t="s">
        <v>2</v>
      </c>
    </row>
    <row r="4" spans="1:7" x14ac:dyDescent="0.25">
      <c r="B4" t="s">
        <v>3</v>
      </c>
      <c r="D4" t="s">
        <v>4</v>
      </c>
      <c r="F4" t="s">
        <v>5</v>
      </c>
      <c r="G4" t="s">
        <v>6</v>
      </c>
    </row>
    <row r="5" spans="1:7" x14ac:dyDescent="0.25">
      <c r="A5" s="1" t="s">
        <v>7</v>
      </c>
      <c r="B5" t="s">
        <v>8</v>
      </c>
      <c r="C5" t="s">
        <v>9</v>
      </c>
      <c r="D5" t="s">
        <v>8</v>
      </c>
      <c r="E5" t="s">
        <v>9</v>
      </c>
    </row>
    <row r="6" spans="1:7" x14ac:dyDescent="0.25">
      <c r="A6" s="2">
        <v>2021</v>
      </c>
      <c r="B6" s="3">
        <v>1043905</v>
      </c>
      <c r="C6" s="3">
        <v>1089680</v>
      </c>
      <c r="D6" s="3">
        <v>695555</v>
      </c>
      <c r="E6" s="3">
        <v>747845</v>
      </c>
      <c r="F6" s="3">
        <v>1739460</v>
      </c>
      <c r="G6" s="3">
        <v>1837525</v>
      </c>
    </row>
    <row r="7" spans="1:7" x14ac:dyDescent="0.25">
      <c r="A7" s="2">
        <v>2022</v>
      </c>
      <c r="B7" s="3">
        <v>983740</v>
      </c>
      <c r="C7" s="3">
        <v>1043905</v>
      </c>
      <c r="D7" s="3">
        <v>642060</v>
      </c>
      <c r="E7" s="3">
        <v>695555</v>
      </c>
      <c r="F7" s="3">
        <v>1625800</v>
      </c>
      <c r="G7" s="3">
        <v>1739460</v>
      </c>
    </row>
    <row r="8" spans="1:7" x14ac:dyDescent="0.25">
      <c r="A8" s="2" t="s">
        <v>10</v>
      </c>
      <c r="B8" s="3">
        <v>2027645</v>
      </c>
      <c r="C8" s="3">
        <v>2133585</v>
      </c>
      <c r="D8" s="3">
        <v>1337615</v>
      </c>
      <c r="E8" s="3">
        <v>1443400</v>
      </c>
      <c r="F8" s="3">
        <v>3365260</v>
      </c>
      <c r="G8" s="3">
        <v>3576985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5D3D-A1C9-4C47-A210-4FF851299AD5}">
  <dimension ref="A1:C19"/>
  <sheetViews>
    <sheetView topLeftCell="A2" workbookViewId="0">
      <selection activeCell="A16" sqref="A16"/>
    </sheetView>
  </sheetViews>
  <sheetFormatPr defaultRowHeight="15" x14ac:dyDescent="0.25"/>
  <cols>
    <col min="1" max="1" width="44.5703125" bestFit="1" customWidth="1"/>
    <col min="2" max="2" width="13.28515625" bestFit="1" customWidth="1"/>
    <col min="3" max="4" width="11.5703125" bestFit="1" customWidth="1"/>
    <col min="5" max="5" width="4.42578125" bestFit="1" customWidth="1"/>
    <col min="6" max="6" width="14" bestFit="1" customWidth="1"/>
    <col min="7" max="7" width="16.5703125" bestFit="1" customWidth="1"/>
    <col min="8" max="8" width="11.5703125" bestFit="1" customWidth="1"/>
  </cols>
  <sheetData>
    <row r="1" spans="1:3" x14ac:dyDescent="0.25">
      <c r="A1" t="s">
        <v>7</v>
      </c>
      <c r="B1" t="str" vm="6">
        <f>CUBEMEMBER("ThisWorkbookDataModel","[Measures].[Turnover]")</f>
        <v>Turnover</v>
      </c>
      <c r="C1" t="str" vm="3">
        <f>CUBEMEMBER("ThisWorkbookDataModel","[Measures].[NB invoices]")</f>
        <v>NB invoices</v>
      </c>
    </row>
    <row r="2" spans="1:3" x14ac:dyDescent="0.25">
      <c r="A2" s="2" t="str" vm="15">
        <f>CUBEMEMBER("ThisWorkbookDataModel","[CLIENTS].[Client Name].&amp;[DENTIA Gestion Sàrl]")</f>
        <v>DENTIA Gestion Sàrl</v>
      </c>
      <c r="B2" vm="42">
        <f>CUBEVALUE("ThisWorkbookDataModel",$A2,B$1,Slicer_Type)</f>
        <v>120980</v>
      </c>
      <c r="C2" vm="43">
        <f>CUBEVALUE("ThisWorkbookDataModel",$A2,C$1,Slicer_Type)</f>
        <v>8</v>
      </c>
    </row>
    <row r="3" spans="1:3" x14ac:dyDescent="0.25">
      <c r="A3" s="2" t="str" vm="13">
        <f>CUBEMEMBER("ThisWorkbookDataModel","[CLIENTS].[Client Name].&amp;[PI Parc Investissements SA]")</f>
        <v>PI Parc Investissements SA</v>
      </c>
      <c r="B3" vm="38">
        <f>CUBEVALUE("ThisWorkbookDataModel",$A3,B$1,Slicer_Type)</f>
        <v>113710</v>
      </c>
      <c r="C3" vm="39">
        <f>CUBEVALUE("ThisWorkbookDataModel",$A3,C$1,Slicer_Type)</f>
        <v>11</v>
      </c>
    </row>
    <row r="4" spans="1:3" x14ac:dyDescent="0.25">
      <c r="A4" s="2" t="str" vm="11">
        <f>CUBEMEMBER("ThisWorkbookDataModel","[CLIENTS].[Client Name].&amp;[BMB Gestion Sàrl]")</f>
        <v>BMB Gestion Sàrl</v>
      </c>
      <c r="B4" vm="35">
        <f>CUBEVALUE("ThisWorkbookDataModel",$A4,B$1,Slicer_Type)</f>
        <v>101380</v>
      </c>
      <c r="C4" vm="34">
        <f>CUBEVALUE("ThisWorkbookDataModel",$A4,C$1,Slicer_Type)</f>
        <v>12</v>
      </c>
    </row>
    <row r="5" spans="1:3" x14ac:dyDescent="0.25">
      <c r="A5" s="2" t="str" vm="9">
        <f>CUBEMEMBER("ThisWorkbookDataModel","[CLIENTS].[Client Name].&amp;[SDCI Constructions Investissements SA]")</f>
        <v>SDCI Constructions Investissements SA</v>
      </c>
      <c r="B5" vm="29">
        <f>CUBEVALUE("ThisWorkbookDataModel",$A5,B$1,Slicer_Type)</f>
        <v>101270</v>
      </c>
      <c r="C5" vm="30">
        <f>CUBEVALUE("ThisWorkbookDataModel",$A5,C$1,Slicer_Type)</f>
        <v>7</v>
      </c>
    </row>
    <row r="6" spans="1:3" x14ac:dyDescent="0.25">
      <c r="A6" s="2" t="str" vm="18">
        <f>CUBEMEMBER("ThisWorkbookDataModel","[CLIENTS].[Client Name].&amp;[Prima Investissements SA]")</f>
        <v>Prima Investissements SA</v>
      </c>
      <c r="B6" vm="48">
        <f>CUBEVALUE("ThisWorkbookDataModel",$A6,B$1,Slicer_Type)</f>
        <v>100420</v>
      </c>
      <c r="C6" vm="49">
        <f>CUBEVALUE("ThisWorkbookDataModel",$A6,C$1,Slicer_Type)</f>
        <v>9</v>
      </c>
    </row>
    <row r="7" spans="1:3" x14ac:dyDescent="0.25">
      <c r="A7" s="2" t="str" vm="17">
        <f>CUBEMEMBER("ThisWorkbookDataModel","[CLIENTS].[Client Name].&amp;[dpm finances et consulting sàrl]")</f>
        <v>dpm finances et consulting sàrl</v>
      </c>
      <c r="B7" vm="46">
        <f>CUBEVALUE("ThisWorkbookDataModel",$A7,B$1,Slicer_Type)</f>
        <v>96320</v>
      </c>
      <c r="C7" vm="47">
        <f>CUBEVALUE("ThisWorkbookDataModel",$A7,C$1,Slicer_Type)</f>
        <v>8</v>
      </c>
    </row>
    <row r="8" spans="1:3" x14ac:dyDescent="0.25">
      <c r="A8" s="2" t="str" vm="16">
        <f>CUBEMEMBER("ThisWorkbookDataModel","[CLIENTS].[Client Name].&amp;[LOUP INVESTISSEMENT SA]")</f>
        <v>LOUP INVESTISSEMENT SA</v>
      </c>
      <c r="B8" vm="45">
        <f>CUBEVALUE("ThisWorkbookDataModel",$A8,B$1,Slicer_Type)</f>
        <v>94940</v>
      </c>
      <c r="C8" vm="44">
        <f>CUBEVALUE("ThisWorkbookDataModel",$A8,C$1,Slicer_Type)</f>
        <v>9</v>
      </c>
    </row>
    <row r="9" spans="1:3" x14ac:dyDescent="0.25">
      <c r="A9" s="2" t="str" vm="4">
        <f>CUBEMEMBER("ThisWorkbookDataModel","[CLIENTS].[Client Name].&amp;[Investissements.NE SA]")</f>
        <v>Investissements.NE SA</v>
      </c>
      <c r="B9" vm="20">
        <f>CUBEVALUE("ThisWorkbookDataModel",$A9,B$1,Slicer_Type)</f>
        <v>94710</v>
      </c>
      <c r="C9" vm="19">
        <f>CUBEVALUE("ThisWorkbookDataModel",$A9,C$1,Slicer_Type)</f>
        <v>8</v>
      </c>
    </row>
    <row r="10" spans="1:3" x14ac:dyDescent="0.25">
      <c r="A10" s="2" t="str" vm="7">
        <f>CUBEMEMBER("ThisWorkbookDataModel","[CLIENTS].[Client Name].&amp;[SIFINA SA Société d'Investissements Financiers]")</f>
        <v>SIFINA SA Société d'Investissements Financiers</v>
      </c>
      <c r="B10" vm="21">
        <f>CUBEVALUE("ThisWorkbookDataModel",$A10,B$1,Slicer_Type)</f>
        <v>92240</v>
      </c>
      <c r="C10" vm="22">
        <f>CUBEVALUE("ThisWorkbookDataModel",$A10,C$1,Slicer_Type)</f>
        <v>8</v>
      </c>
    </row>
    <row r="11" spans="1:3" x14ac:dyDescent="0.25">
      <c r="A11" s="2" t="str" vm="8">
        <f>CUBEMEMBER("ThisWorkbookDataModel","[CLIENTS].[Client Name].&amp;[Ecogestion Solutions Environnementales Sàrl]")</f>
        <v>Ecogestion Solutions Environnementales Sàrl</v>
      </c>
      <c r="B11" vm="27">
        <f>CUBEVALUE("ThisWorkbookDataModel",$A11,B$1,Slicer_Type)</f>
        <v>90230</v>
      </c>
      <c r="C11" vm="28">
        <f>CUBEVALUE("ThisWorkbookDataModel",$A11,C$1,Slicer_Type)</f>
        <v>7</v>
      </c>
    </row>
    <row r="12" spans="1:3" x14ac:dyDescent="0.25">
      <c r="A12" s="2" t="str" vm="5">
        <f>CUBEMEMBER("ThisWorkbookDataModel","[CLIENTS].[Client Name].&amp;[L&amp;L investissements SA]")</f>
        <v>L&amp;L investissements SA</v>
      </c>
      <c r="B12" vm="26">
        <f>CUBEVALUE("ThisWorkbookDataModel",$A12,B$1,Slicer_Type)</f>
        <v>89960</v>
      </c>
      <c r="C12" vm="25">
        <f>CUBEVALUE("ThisWorkbookDataModel",$A12,C$1,Slicer_Type)</f>
        <v>6</v>
      </c>
    </row>
    <row r="13" spans="1:3" x14ac:dyDescent="0.25">
      <c r="A13" s="2" t="str" vm="2">
        <f>CUBEMEMBER("ThisWorkbookDataModel","[CLIENTS].[Client Name].&amp;[A.R.G. Architecture Réalisations Gestion S. à r.l.]")</f>
        <v>A.R.G. Architecture Réalisations Gestion S. à r.l.</v>
      </c>
      <c r="B13" vm="24">
        <f>CUBEVALUE("ThisWorkbookDataModel",$A13,B$1,Slicer_Type)</f>
        <v>87620</v>
      </c>
      <c r="C13" vm="23">
        <f>CUBEVALUE("ThisWorkbookDataModel",$A13,C$1,Slicer_Type)</f>
        <v>6</v>
      </c>
    </row>
    <row r="14" spans="1:3" x14ac:dyDescent="0.25">
      <c r="A14" s="2" t="str" vm="14">
        <f>CUBEMEMBER("ThisWorkbookDataModel","[CLIENTS].[Client Name].&amp;[GIF Genève Investissement &amp; Finance (Suisse) SA]")</f>
        <v>GIF Genève Investissement &amp; Finance (Suisse) SA</v>
      </c>
      <c r="B14" vm="41">
        <f>CUBEVALUE("ThisWorkbookDataModel",$A14,B$1,Slicer_Type)</f>
        <v>86240</v>
      </c>
      <c r="C14" vm="40">
        <f>CUBEVALUE("ThisWorkbookDataModel",$A14,C$1,Slicer_Type)</f>
        <v>8</v>
      </c>
    </row>
    <row r="15" spans="1:3" x14ac:dyDescent="0.25">
      <c r="A15" s="2" t="str" vm="12">
        <f>CUBEMEMBER("ThisWorkbookDataModel","[CLIENTS].[Client Name].&amp;[2LS Investissement SA]")</f>
        <v>2LS Investissement SA</v>
      </c>
      <c r="B15" vm="36">
        <f>CUBEVALUE("ThisWorkbookDataModel",$A15,B$1,Slicer_Type)</f>
        <v>85510</v>
      </c>
      <c r="C15" vm="37">
        <f>CUBEVALUE("ThisWorkbookDataModel",$A15,C$1,Slicer_Type)</f>
        <v>9</v>
      </c>
    </row>
    <row r="16" spans="1:3" x14ac:dyDescent="0.25">
      <c r="A16" s="2" t="str" vm="10">
        <f>CUBEMEMBER("ThisWorkbookDataModel","[CLIENTS].[Client Name].&amp;[Ineom Investissement 2 SA]")</f>
        <v>Ineom Investissement 2 SA</v>
      </c>
      <c r="B16" vm="31">
        <f>CUBEVALUE("ThisWorkbookDataModel",$A16,B$1,Slicer_Type)</f>
        <v>82160</v>
      </c>
      <c r="C16" vm="32">
        <f>CUBEVALUE("ThisWorkbookDataModel",$A16,C$1,Slicer_Type)</f>
        <v>9</v>
      </c>
    </row>
    <row r="19" spans="1:3" x14ac:dyDescent="0.25">
      <c r="A19" s="2" t="str" vm="33">
        <f>CUBESET("ThisWorkbookDataModel",($A$16,$A$15,$A$14,$A$13,$A$12,$A$11,$A$10,$A$9,$A$8,$A$7,$A$6,$A$5,$A$4,$A$3,$A$2),"Grand Total")</f>
        <v>Grand Total</v>
      </c>
      <c r="B19" vm="50">
        <f>CUBEVALUE("ThisWorkbookDataModel",$A19,B$1,Slicer_Type)</f>
        <v>1437690</v>
      </c>
      <c r="C19" vm="51">
        <f>CUBEVALUE("ThisWorkbookDataModel",$A19,C$1,Slicer_Type)</f>
        <v>125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C632-90DB-4F95-895D-5D701FB04647}">
  <dimension ref="A1:I44"/>
  <sheetViews>
    <sheetView tabSelected="1" topLeftCell="A7" workbookViewId="0">
      <selection activeCell="G19" sqref="A1:I44"/>
    </sheetView>
  </sheetViews>
  <sheetFormatPr defaultRowHeight="15" x14ac:dyDescent="0.25"/>
  <cols>
    <col min="1" max="1" width="14" bestFit="1" customWidth="1"/>
    <col min="2" max="2" width="14.28515625" bestFit="1" customWidth="1"/>
    <col min="3" max="3" width="8.42578125" bestFit="1" customWidth="1"/>
    <col min="4" max="4" width="15.85546875" bestFit="1" customWidth="1"/>
    <col min="5" max="5" width="6.42578125" bestFit="1" customWidth="1"/>
    <col min="6" max="7" width="8.140625" bestFit="1" customWidth="1"/>
    <col min="8" max="8" width="13.28515625" bestFit="1" customWidth="1"/>
    <col min="9" max="9" width="11.5703125" bestFit="1" customWidth="1"/>
  </cols>
  <sheetData>
    <row r="1" spans="1:9" x14ac:dyDescent="0.25">
      <c r="A1" s="1" t="s">
        <v>7</v>
      </c>
      <c r="B1" t="s">
        <v>11</v>
      </c>
      <c r="C1" t="s">
        <v>12</v>
      </c>
      <c r="D1" t="s">
        <v>13</v>
      </c>
      <c r="E1" t="s">
        <v>14</v>
      </c>
      <c r="F1" t="s">
        <v>15</v>
      </c>
      <c r="G1" t="s">
        <v>16</v>
      </c>
      <c r="H1" t="s">
        <v>8</v>
      </c>
      <c r="I1" t="s">
        <v>17</v>
      </c>
    </row>
    <row r="2" spans="1:9" x14ac:dyDescent="0.25">
      <c r="A2" s="2">
        <v>2020</v>
      </c>
      <c r="F2" s="5"/>
    </row>
    <row r="3" spans="1:9" x14ac:dyDescent="0.25">
      <c r="A3" s="4" t="s">
        <v>18</v>
      </c>
      <c r="B3" s="3">
        <v>496140</v>
      </c>
      <c r="C3">
        <v>0</v>
      </c>
      <c r="D3" s="7"/>
      <c r="E3">
        <v>1</v>
      </c>
      <c r="F3" s="5">
        <v>3.6016481601932729E-2</v>
      </c>
      <c r="G3" s="6">
        <v>0.10497429278716967</v>
      </c>
      <c r="H3" s="3">
        <v>177075</v>
      </c>
      <c r="I3">
        <v>59</v>
      </c>
    </row>
    <row r="4" spans="1:9" x14ac:dyDescent="0.25">
      <c r="A4" s="4" t="s">
        <v>19</v>
      </c>
      <c r="B4" s="3">
        <v>509980</v>
      </c>
      <c r="C4">
        <v>0</v>
      </c>
      <c r="D4" s="7"/>
      <c r="E4">
        <v>1</v>
      </c>
      <c r="F4" s="5">
        <v>3.7021174038282846E-2</v>
      </c>
      <c r="G4" s="6">
        <v>0.10790258764784293</v>
      </c>
      <c r="H4" s="3">
        <v>186330</v>
      </c>
      <c r="I4">
        <v>58</v>
      </c>
    </row>
    <row r="5" spans="1:9" x14ac:dyDescent="0.25">
      <c r="A5" s="4" t="s">
        <v>20</v>
      </c>
      <c r="B5" s="3">
        <v>729280</v>
      </c>
      <c r="C5">
        <v>1</v>
      </c>
      <c r="D5" s="7"/>
      <c r="E5">
        <v>1</v>
      </c>
      <c r="F5" s="5">
        <v>5.2940903177847984E-2</v>
      </c>
      <c r="G5" s="6">
        <v>0.15430251994160338</v>
      </c>
      <c r="H5" s="3">
        <v>317680</v>
      </c>
      <c r="I5">
        <v>62</v>
      </c>
    </row>
    <row r="6" spans="1:9" x14ac:dyDescent="0.25">
      <c r="A6" s="4" t="s">
        <v>21</v>
      </c>
      <c r="B6" s="3">
        <v>543500</v>
      </c>
      <c r="C6">
        <v>0</v>
      </c>
      <c r="D6" s="7"/>
      <c r="E6">
        <v>1</v>
      </c>
      <c r="F6" s="5">
        <v>3.945450427429846E-2</v>
      </c>
      <c r="G6" s="6">
        <v>0.11499481624103421</v>
      </c>
      <c r="H6" s="3">
        <v>215650</v>
      </c>
      <c r="I6">
        <v>60</v>
      </c>
    </row>
    <row r="7" spans="1:9" x14ac:dyDescent="0.25">
      <c r="A7" s="4" t="s">
        <v>22</v>
      </c>
      <c r="B7" s="3">
        <v>634600</v>
      </c>
      <c r="C7">
        <v>1</v>
      </c>
      <c r="D7" s="7"/>
      <c r="E7">
        <v>1</v>
      </c>
      <c r="F7" s="5">
        <v>4.6067761568481698E-2</v>
      </c>
      <c r="G7" s="6">
        <v>0.13426993631381842</v>
      </c>
      <c r="H7" s="3">
        <v>252430</v>
      </c>
      <c r="I7">
        <v>62</v>
      </c>
    </row>
    <row r="8" spans="1:9" x14ac:dyDescent="0.25">
      <c r="A8" s="4" t="s">
        <v>23</v>
      </c>
      <c r="B8" s="3">
        <v>542880</v>
      </c>
      <c r="C8">
        <v>0</v>
      </c>
      <c r="D8" s="7"/>
      <c r="E8">
        <v>1</v>
      </c>
      <c r="F8" s="5">
        <v>3.9409496376138262E-2</v>
      </c>
      <c r="G8" s="6">
        <v>0.1148636354019</v>
      </c>
      <c r="H8" s="3">
        <v>185420</v>
      </c>
      <c r="I8">
        <v>60</v>
      </c>
    </row>
    <row r="9" spans="1:9" x14ac:dyDescent="0.25">
      <c r="A9" s="4" t="s">
        <v>24</v>
      </c>
      <c r="B9" s="3">
        <v>28300</v>
      </c>
      <c r="C9">
        <v>-1</v>
      </c>
      <c r="D9" s="7"/>
      <c r="E9">
        <v>1</v>
      </c>
      <c r="F9" s="5">
        <v>2.0543927708604349E-3</v>
      </c>
      <c r="G9" s="6">
        <v>5.9877705604807147E-3</v>
      </c>
      <c r="H9" s="3">
        <v>13760</v>
      </c>
      <c r="I9">
        <v>4</v>
      </c>
    </row>
    <row r="10" spans="1:9" x14ac:dyDescent="0.25">
      <c r="A10" s="4" t="s">
        <v>25</v>
      </c>
      <c r="B10" s="3">
        <v>40380</v>
      </c>
      <c r="C10">
        <v>-1</v>
      </c>
      <c r="D10" s="7"/>
      <c r="E10">
        <v>1</v>
      </c>
      <c r="F10" s="5">
        <v>2.9313208511429103E-3</v>
      </c>
      <c r="G10" s="6">
        <v>8.5436811036117052E-3</v>
      </c>
      <c r="H10" s="3">
        <v>17310</v>
      </c>
      <c r="I10">
        <v>4</v>
      </c>
    </row>
    <row r="11" spans="1:9" x14ac:dyDescent="0.25">
      <c r="A11" s="4" t="s">
        <v>26</v>
      </c>
      <c r="B11" s="3">
        <v>500660</v>
      </c>
      <c r="C11">
        <v>0</v>
      </c>
      <c r="D11" s="7"/>
      <c r="E11">
        <v>1</v>
      </c>
      <c r="F11" s="5">
        <v>3.6344603698197364E-2</v>
      </c>
      <c r="G11" s="6">
        <v>0.10593064342085776</v>
      </c>
      <c r="H11" s="3">
        <v>187050</v>
      </c>
      <c r="I11">
        <v>52</v>
      </c>
    </row>
    <row r="12" spans="1:9" x14ac:dyDescent="0.25">
      <c r="A12" s="4" t="s">
        <v>27</v>
      </c>
      <c r="B12" s="3">
        <v>542660</v>
      </c>
      <c r="C12">
        <v>0</v>
      </c>
      <c r="D12" s="7"/>
      <c r="E12">
        <v>1</v>
      </c>
      <c r="F12" s="5">
        <v>3.9393525831629805E-2</v>
      </c>
      <c r="G12" s="6">
        <v>0.11481708736220722</v>
      </c>
      <c r="H12" s="3">
        <v>232020</v>
      </c>
      <c r="I12">
        <v>62</v>
      </c>
    </row>
    <row r="13" spans="1:9" x14ac:dyDescent="0.25">
      <c r="A13" s="4" t="s">
        <v>28</v>
      </c>
      <c r="B13" s="3">
        <v>157920</v>
      </c>
      <c r="C13">
        <v>-1</v>
      </c>
      <c r="D13" s="7"/>
      <c r="E13">
        <v>1</v>
      </c>
      <c r="F13" s="5">
        <v>1.1463947221706003E-2</v>
      </c>
      <c r="G13" s="6">
        <v>3.3413029219474005E-2</v>
      </c>
      <c r="H13" s="3">
        <v>52800</v>
      </c>
      <c r="I13">
        <v>14</v>
      </c>
    </row>
    <row r="14" spans="1:9" x14ac:dyDescent="0.25">
      <c r="A14" s="2" t="s">
        <v>29</v>
      </c>
      <c r="B14" s="3">
        <v>4726300</v>
      </c>
      <c r="C14">
        <v>1</v>
      </c>
      <c r="D14" s="7"/>
      <c r="E14">
        <v>1</v>
      </c>
      <c r="F14" s="5">
        <v>0.34309811141051849</v>
      </c>
      <c r="G14" s="6">
        <v>1</v>
      </c>
      <c r="H14" s="3">
        <v>1837525</v>
      </c>
      <c r="I14">
        <v>497</v>
      </c>
    </row>
    <row r="15" spans="1:9" x14ac:dyDescent="0.25">
      <c r="A15" s="2"/>
      <c r="F15" s="5"/>
    </row>
    <row r="16" spans="1:9" x14ac:dyDescent="0.25">
      <c r="A16" s="2">
        <v>2021</v>
      </c>
      <c r="F16" s="5"/>
    </row>
    <row r="17" spans="1:9" x14ac:dyDescent="0.25">
      <c r="A17" s="4" t="s">
        <v>18</v>
      </c>
      <c r="B17" s="3">
        <v>636560</v>
      </c>
      <c r="C17">
        <v>1</v>
      </c>
      <c r="D17" s="7">
        <v>496140</v>
      </c>
      <c r="E17">
        <v>1</v>
      </c>
      <c r="F17" s="5">
        <v>4.6210044601375212E-2</v>
      </c>
      <c r="G17" s="6">
        <v>0.13647375620130608</v>
      </c>
      <c r="H17" s="3">
        <v>245860</v>
      </c>
      <c r="I17">
        <v>60</v>
      </c>
    </row>
    <row r="18" spans="1:9" x14ac:dyDescent="0.25">
      <c r="A18" s="4" t="s">
        <v>19</v>
      </c>
      <c r="B18" s="3">
        <v>445940</v>
      </c>
      <c r="C18">
        <v>0</v>
      </c>
      <c r="D18" s="7">
        <v>509980</v>
      </c>
      <c r="E18">
        <v>0</v>
      </c>
      <c r="F18" s="5">
        <v>3.2372293718639658E-2</v>
      </c>
      <c r="G18" s="6">
        <v>9.5606237967215082E-2</v>
      </c>
      <c r="H18" s="3">
        <v>139840</v>
      </c>
      <c r="I18">
        <v>56</v>
      </c>
    </row>
    <row r="19" spans="1:9" x14ac:dyDescent="0.25">
      <c r="A19" s="4" t="s">
        <v>20</v>
      </c>
      <c r="B19" s="3">
        <v>690440</v>
      </c>
      <c r="C19">
        <v>1</v>
      </c>
      <c r="D19" s="7">
        <v>729280</v>
      </c>
      <c r="E19">
        <v>0</v>
      </c>
      <c r="F19" s="5">
        <v>5.0121376138264263E-2</v>
      </c>
      <c r="G19" s="6">
        <v>0.14802522972167553</v>
      </c>
      <c r="H19" s="3">
        <v>281610</v>
      </c>
      <c r="I19">
        <v>62</v>
      </c>
    </row>
    <row r="20" spans="1:9" x14ac:dyDescent="0.25">
      <c r="A20" s="4" t="s">
        <v>21</v>
      </c>
      <c r="B20" s="3">
        <v>505760</v>
      </c>
      <c r="C20">
        <v>0</v>
      </c>
      <c r="D20" s="7">
        <v>543500</v>
      </c>
      <c r="E20">
        <v>0</v>
      </c>
      <c r="F20" s="5">
        <v>3.6714829957257014E-2</v>
      </c>
      <c r="G20" s="6">
        <v>0.10843120355720209</v>
      </c>
      <c r="H20" s="3">
        <v>198640</v>
      </c>
      <c r="I20">
        <v>60</v>
      </c>
    </row>
    <row r="21" spans="1:9" x14ac:dyDescent="0.25">
      <c r="A21" s="4" t="s">
        <v>22</v>
      </c>
      <c r="B21" s="3">
        <v>614300</v>
      </c>
      <c r="C21">
        <v>1</v>
      </c>
      <c r="D21" s="7">
        <v>634600</v>
      </c>
      <c r="E21">
        <v>0</v>
      </c>
      <c r="F21" s="5">
        <v>4.4594115870656009E-2</v>
      </c>
      <c r="G21" s="6">
        <v>0.13170137682930488</v>
      </c>
      <c r="H21" s="3">
        <v>234350</v>
      </c>
      <c r="I21">
        <v>62</v>
      </c>
    </row>
    <row r="22" spans="1:9" x14ac:dyDescent="0.25">
      <c r="A22" s="4" t="s">
        <v>23</v>
      </c>
      <c r="B22" s="3">
        <v>630460</v>
      </c>
      <c r="C22">
        <v>1</v>
      </c>
      <c r="D22" s="7">
        <v>542880</v>
      </c>
      <c r="E22">
        <v>1</v>
      </c>
      <c r="F22" s="5">
        <v>4.5767224958186213E-2</v>
      </c>
      <c r="G22" s="6">
        <v>0.13516596131499847</v>
      </c>
      <c r="H22" s="3">
        <v>239210</v>
      </c>
      <c r="I22">
        <v>60</v>
      </c>
    </row>
    <row r="23" spans="1:9" x14ac:dyDescent="0.25">
      <c r="A23" s="4" t="s">
        <v>24</v>
      </c>
      <c r="B23" s="3">
        <v>34080</v>
      </c>
      <c r="C23">
        <v>-1</v>
      </c>
      <c r="D23" s="7">
        <v>28300</v>
      </c>
      <c r="E23">
        <v>1</v>
      </c>
      <c r="F23" s="5">
        <v>2.473982531128043E-3</v>
      </c>
      <c r="G23" s="6">
        <v>7.3064999549775529E-3</v>
      </c>
      <c r="H23" s="3">
        <v>14200</v>
      </c>
      <c r="I23">
        <v>4</v>
      </c>
    </row>
    <row r="24" spans="1:9" x14ac:dyDescent="0.25">
      <c r="A24" s="4" t="s">
        <v>25</v>
      </c>
      <c r="B24" s="3">
        <v>51360</v>
      </c>
      <c r="C24">
        <v>-1</v>
      </c>
      <c r="D24" s="7">
        <v>40380</v>
      </c>
      <c r="E24">
        <v>1</v>
      </c>
      <c r="F24" s="5">
        <v>3.7283962088831071E-3</v>
      </c>
      <c r="G24" s="6">
        <v>1.1011204157501384E-2</v>
      </c>
      <c r="H24" s="3">
        <v>17200</v>
      </c>
      <c r="I24">
        <v>4</v>
      </c>
    </row>
    <row r="25" spans="1:9" x14ac:dyDescent="0.25">
      <c r="A25" s="4" t="s">
        <v>26</v>
      </c>
      <c r="B25" s="3">
        <v>427520</v>
      </c>
      <c r="C25">
        <v>0</v>
      </c>
      <c r="D25" s="7">
        <v>500660</v>
      </c>
      <c r="E25">
        <v>0</v>
      </c>
      <c r="F25" s="5">
        <v>3.1035123582977144E-2</v>
      </c>
      <c r="G25" s="6">
        <v>9.1657126195774749E-2</v>
      </c>
      <c r="H25" s="3">
        <v>149200</v>
      </c>
      <c r="I25">
        <v>52</v>
      </c>
    </row>
    <row r="26" spans="1:9" x14ac:dyDescent="0.25">
      <c r="A26" s="4" t="s">
        <v>27</v>
      </c>
      <c r="B26" s="3">
        <v>513880</v>
      </c>
      <c r="C26">
        <v>0</v>
      </c>
      <c r="D26" s="7">
        <v>542660</v>
      </c>
      <c r="E26">
        <v>0</v>
      </c>
      <c r="F26" s="5">
        <v>3.730428823638729E-2</v>
      </c>
      <c r="G26" s="6">
        <v>0.1101720715042214</v>
      </c>
      <c r="H26" s="3">
        <v>185100</v>
      </c>
      <c r="I26">
        <v>62</v>
      </c>
    </row>
    <row r="27" spans="1:9" x14ac:dyDescent="0.25">
      <c r="A27" s="4" t="s">
        <v>28</v>
      </c>
      <c r="B27" s="3">
        <v>114040</v>
      </c>
      <c r="C27">
        <v>-1</v>
      </c>
      <c r="D27" s="7">
        <v>157920</v>
      </c>
      <c r="E27">
        <v>-1</v>
      </c>
      <c r="F27" s="5">
        <v>8.2785495261103893E-3</v>
      </c>
      <c r="G27" s="6">
        <v>2.4449332595822774E-2</v>
      </c>
      <c r="H27" s="3">
        <v>34250</v>
      </c>
      <c r="I27">
        <v>14</v>
      </c>
    </row>
    <row r="28" spans="1:9" x14ac:dyDescent="0.25">
      <c r="A28" s="2" t="s">
        <v>30</v>
      </c>
      <c r="B28" s="3">
        <v>4664340</v>
      </c>
      <c r="C28">
        <v>1</v>
      </c>
      <c r="D28" s="7">
        <v>4726300</v>
      </c>
      <c r="E28">
        <v>0</v>
      </c>
      <c r="F28" s="5">
        <v>0.33860022532986433</v>
      </c>
      <c r="G28" s="6">
        <v>1</v>
      </c>
      <c r="H28" s="3">
        <v>1739460</v>
      </c>
      <c r="I28">
        <v>496</v>
      </c>
    </row>
    <row r="29" spans="1:9" x14ac:dyDescent="0.25">
      <c r="A29" s="2"/>
      <c r="F29" s="5"/>
    </row>
    <row r="30" spans="1:9" x14ac:dyDescent="0.25">
      <c r="A30" s="2">
        <v>2022</v>
      </c>
      <c r="F30" s="5"/>
    </row>
    <row r="31" spans="1:9" x14ac:dyDescent="0.25">
      <c r="A31" s="4" t="s">
        <v>18</v>
      </c>
      <c r="B31" s="3">
        <v>538180</v>
      </c>
      <c r="C31">
        <v>0</v>
      </c>
      <c r="D31" s="7">
        <v>636560</v>
      </c>
      <c r="E31">
        <v>0</v>
      </c>
      <c r="F31" s="5">
        <v>3.9068307470730347E-2</v>
      </c>
      <c r="G31" s="6">
        <v>0.12273987848710978</v>
      </c>
      <c r="H31" s="3">
        <v>209570</v>
      </c>
      <c r="I31">
        <v>60</v>
      </c>
    </row>
    <row r="32" spans="1:9" x14ac:dyDescent="0.25">
      <c r="A32" s="4" t="s">
        <v>19</v>
      </c>
      <c r="B32" s="3">
        <v>483900</v>
      </c>
      <c r="C32">
        <v>0</v>
      </c>
      <c r="D32" s="7">
        <v>445940</v>
      </c>
      <c r="E32">
        <v>1</v>
      </c>
      <c r="F32" s="5">
        <v>3.5127938580189554E-2</v>
      </c>
      <c r="G32" s="6">
        <v>0.11036052473133974</v>
      </c>
      <c r="H32" s="3">
        <v>170850</v>
      </c>
      <c r="I32">
        <v>56</v>
      </c>
    </row>
    <row r="33" spans="1:9" x14ac:dyDescent="0.25">
      <c r="A33" s="4" t="s">
        <v>20</v>
      </c>
      <c r="B33" s="3">
        <v>526820</v>
      </c>
      <c r="C33">
        <v>0</v>
      </c>
      <c r="D33" s="7">
        <v>690440</v>
      </c>
      <c r="E33">
        <v>0</v>
      </c>
      <c r="F33" s="5">
        <v>3.8243646627020997E-2</v>
      </c>
      <c r="G33" s="6">
        <v>0.12014906311007316</v>
      </c>
      <c r="H33" s="3">
        <v>189630</v>
      </c>
      <c r="I33">
        <v>62</v>
      </c>
    </row>
    <row r="34" spans="1:9" x14ac:dyDescent="0.25">
      <c r="A34" s="4" t="s">
        <v>21</v>
      </c>
      <c r="B34" s="3">
        <v>596740</v>
      </c>
      <c r="C34">
        <v>1</v>
      </c>
      <c r="D34" s="7">
        <v>505760</v>
      </c>
      <c r="E34">
        <v>1</v>
      </c>
      <c r="F34" s="5">
        <v>4.3319376045344735E-2</v>
      </c>
      <c r="G34" s="6">
        <v>0.13609534930394643</v>
      </c>
      <c r="H34" s="3">
        <v>245660</v>
      </c>
      <c r="I34">
        <v>60</v>
      </c>
    </row>
    <row r="35" spans="1:9" x14ac:dyDescent="0.25">
      <c r="A35" s="4" t="s">
        <v>22</v>
      </c>
      <c r="B35" s="3">
        <v>489940</v>
      </c>
      <c r="C35">
        <v>0</v>
      </c>
      <c r="D35" s="7">
        <v>614300</v>
      </c>
      <c r="E35">
        <v>0</v>
      </c>
      <c r="F35" s="5">
        <v>3.5566402620330791E-2</v>
      </c>
      <c r="G35" s="6">
        <v>0.11173803572405992</v>
      </c>
      <c r="H35" s="3">
        <v>177910</v>
      </c>
      <c r="I35">
        <v>62</v>
      </c>
    </row>
    <row r="36" spans="1:9" x14ac:dyDescent="0.25">
      <c r="A36" s="4" t="s">
        <v>23</v>
      </c>
      <c r="B36" s="3">
        <v>527460</v>
      </c>
      <c r="C36">
        <v>0</v>
      </c>
      <c r="D36" s="7">
        <v>630460</v>
      </c>
      <c r="E36">
        <v>0</v>
      </c>
      <c r="F36" s="5">
        <v>3.8290106392863781E-2</v>
      </c>
      <c r="G36" s="6">
        <v>0.12029502453976537</v>
      </c>
      <c r="H36" s="3">
        <v>193590</v>
      </c>
      <c r="I36">
        <v>60</v>
      </c>
    </row>
    <row r="37" spans="1:9" x14ac:dyDescent="0.25">
      <c r="A37" s="4" t="s">
        <v>24</v>
      </c>
      <c r="B37" s="3">
        <v>70760</v>
      </c>
      <c r="C37">
        <v>-1</v>
      </c>
      <c r="D37" s="7">
        <v>34080</v>
      </c>
      <c r="E37">
        <v>1</v>
      </c>
      <c r="F37" s="5">
        <v>5.1367078609923806E-3</v>
      </c>
      <c r="G37" s="6">
        <v>1.6137860570344286E-2</v>
      </c>
      <c r="H37" s="3">
        <v>26850</v>
      </c>
      <c r="I37">
        <v>6</v>
      </c>
    </row>
    <row r="38" spans="1:9" x14ac:dyDescent="0.25">
      <c r="A38" s="4" t="s">
        <v>25</v>
      </c>
      <c r="B38" s="3">
        <v>91400</v>
      </c>
      <c r="C38">
        <v>-1</v>
      </c>
      <c r="D38" s="7">
        <v>51360</v>
      </c>
      <c r="E38">
        <v>1</v>
      </c>
      <c r="F38" s="5">
        <v>6.6350353094220401E-3</v>
      </c>
      <c r="G38" s="6">
        <v>2.0845116677917861E-2</v>
      </c>
      <c r="H38" s="3">
        <v>30840</v>
      </c>
      <c r="I38">
        <v>10</v>
      </c>
    </row>
    <row r="39" spans="1:9" x14ac:dyDescent="0.25">
      <c r="A39" s="4" t="s">
        <v>26</v>
      </c>
      <c r="B39" s="3">
        <v>403100</v>
      </c>
      <c r="C39">
        <v>0</v>
      </c>
      <c r="D39" s="7">
        <v>427520</v>
      </c>
      <c r="E39">
        <v>0</v>
      </c>
      <c r="F39" s="5">
        <v>2.9262393142538562E-2</v>
      </c>
      <c r="G39" s="6">
        <v>9.1932894232699014E-2</v>
      </c>
      <c r="H39" s="3">
        <v>139130</v>
      </c>
      <c r="I39">
        <v>44</v>
      </c>
    </row>
    <row r="40" spans="1:9" x14ac:dyDescent="0.25">
      <c r="A40" s="4" t="s">
        <v>27</v>
      </c>
      <c r="B40" s="3">
        <v>534180</v>
      </c>
      <c r="C40">
        <v>0</v>
      </c>
      <c r="D40" s="7">
        <v>513880</v>
      </c>
      <c r="E40">
        <v>1</v>
      </c>
      <c r="F40" s="5">
        <v>3.8777933934212971E-2</v>
      </c>
      <c r="G40" s="6">
        <v>0.12182761955153351</v>
      </c>
      <c r="H40" s="3">
        <v>203070</v>
      </c>
      <c r="I40">
        <v>62</v>
      </c>
    </row>
    <row r="41" spans="1:9" x14ac:dyDescent="0.25">
      <c r="A41" s="4" t="s">
        <v>28</v>
      </c>
      <c r="B41" s="3">
        <v>122240</v>
      </c>
      <c r="C41">
        <v>-1</v>
      </c>
      <c r="D41" s="7">
        <v>114040</v>
      </c>
      <c r="E41">
        <v>1</v>
      </c>
      <c r="F41" s="5">
        <v>8.8738152759710084E-3</v>
      </c>
      <c r="G41" s="6">
        <v>2.7878633071210933E-2</v>
      </c>
      <c r="H41" s="3">
        <v>38700</v>
      </c>
      <c r="I41">
        <v>14</v>
      </c>
    </row>
    <row r="42" spans="1:9" x14ac:dyDescent="0.25">
      <c r="A42" s="2" t="s">
        <v>31</v>
      </c>
      <c r="B42" s="3">
        <v>4384720</v>
      </c>
      <c r="C42">
        <v>1</v>
      </c>
      <c r="D42" s="7">
        <v>4664340</v>
      </c>
      <c r="E42">
        <v>0</v>
      </c>
      <c r="F42" s="5">
        <v>0.31830166325961717</v>
      </c>
      <c r="G42" s="6">
        <v>1</v>
      </c>
      <c r="H42" s="3">
        <v>1625800</v>
      </c>
      <c r="I42">
        <v>496</v>
      </c>
    </row>
    <row r="43" spans="1:9" x14ac:dyDescent="0.25">
      <c r="A43" s="2"/>
      <c r="F43" s="5"/>
    </row>
    <row r="44" spans="1:9" x14ac:dyDescent="0.25">
      <c r="A44" s="2" t="s">
        <v>10</v>
      </c>
      <c r="B44" s="3">
        <v>13775360</v>
      </c>
      <c r="C44">
        <v>1</v>
      </c>
      <c r="D44" s="7">
        <v>9390640</v>
      </c>
      <c r="E44">
        <v>1</v>
      </c>
      <c r="F44" s="5">
        <v>1</v>
      </c>
      <c r="G44" s="6">
        <v>1</v>
      </c>
      <c r="H44" s="3">
        <v>5202785</v>
      </c>
      <c r="I44">
        <v>1489</v>
      </c>
    </row>
  </sheetData>
  <conditionalFormatting pivot="1" sqref="C2:C44">
    <cfRule type="iconSet" priority="5">
      <iconSet showValue="0">
        <cfvo type="num" val="-1"/>
        <cfvo type="num" val="-0.5"/>
        <cfvo type="num" val="0.5"/>
      </iconSet>
    </cfRule>
  </conditionalFormatting>
  <conditionalFormatting pivot="1" sqref="C2:C44">
    <cfRule type="iconSet" priority="4">
      <iconSet showValue="0">
        <cfvo type="num" val="-1"/>
        <cfvo type="num" val="-0.5"/>
        <cfvo type="num" val="0.5"/>
      </iconSet>
    </cfRule>
  </conditionalFormatting>
  <conditionalFormatting pivot="1" sqref="E2:E44">
    <cfRule type="iconSet" priority="2">
      <iconSet iconSet="3Symbols" showValue="0">
        <cfvo type="num" val="-1"/>
        <cfvo type="num" val="-0.5"/>
        <cfvo type="num" val="0.5"/>
      </iconSet>
    </cfRule>
  </conditionalFormatting>
  <conditionalFormatting pivot="1" sqref="E2:E44">
    <cfRule type="iconSet" priority="1">
      <iconSet iconSet="3Symbols" showValue="0">
        <cfvo type="num" val="-1"/>
        <cfvo type="num" val="-0.5"/>
        <cfvo type="num" val="0.5"/>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1201-3E5B-4B9D-BD37-31B458BBDB54}">
  <dimension ref="A1:E13"/>
  <sheetViews>
    <sheetView workbookViewId="0">
      <selection activeCell="R4" sqref="R4"/>
    </sheetView>
  </sheetViews>
  <sheetFormatPr defaultRowHeight="15" x14ac:dyDescent="0.25"/>
  <cols>
    <col min="1" max="1" width="22.28515625" bestFit="1" customWidth="1"/>
    <col min="2" max="2" width="16.85546875" bestFit="1" customWidth="1"/>
    <col min="3" max="5" width="13.28515625" bestFit="1" customWidth="1"/>
    <col min="6" max="9" width="11.5703125" bestFit="1" customWidth="1"/>
  </cols>
  <sheetData>
    <row r="1" spans="1:5" x14ac:dyDescent="0.25">
      <c r="A1" s="1" t="s">
        <v>8</v>
      </c>
      <c r="B1" s="1" t="s">
        <v>2</v>
      </c>
    </row>
    <row r="2" spans="1:5" x14ac:dyDescent="0.25">
      <c r="A2" s="1" t="s">
        <v>7</v>
      </c>
      <c r="B2">
        <v>2020</v>
      </c>
      <c r="C2">
        <v>2021</v>
      </c>
      <c r="D2">
        <v>2022</v>
      </c>
      <c r="E2" t="s">
        <v>10</v>
      </c>
    </row>
    <row r="3" spans="1:5" x14ac:dyDescent="0.25">
      <c r="A3" s="2" t="s">
        <v>32</v>
      </c>
      <c r="B3" s="3"/>
      <c r="C3" s="3">
        <v>132680</v>
      </c>
      <c r="D3" s="3">
        <v>117000</v>
      </c>
      <c r="E3" s="3">
        <v>249680</v>
      </c>
    </row>
    <row r="4" spans="1:5" x14ac:dyDescent="0.25">
      <c r="A4" s="2" t="s">
        <v>33</v>
      </c>
      <c r="B4" s="3">
        <v>67400</v>
      </c>
      <c r="C4" s="3">
        <v>65640</v>
      </c>
      <c r="D4" s="3">
        <v>61600</v>
      </c>
      <c r="E4" s="3">
        <v>194640</v>
      </c>
    </row>
    <row r="5" spans="1:5" x14ac:dyDescent="0.25">
      <c r="A5" s="2" t="s">
        <v>34</v>
      </c>
      <c r="B5" s="3">
        <v>256730</v>
      </c>
      <c r="C5" s="3">
        <v>388370</v>
      </c>
      <c r="D5" s="3">
        <v>391620</v>
      </c>
      <c r="E5" s="3">
        <v>1036720</v>
      </c>
    </row>
    <row r="6" spans="1:5" x14ac:dyDescent="0.25">
      <c r="A6" s="2" t="s">
        <v>35</v>
      </c>
      <c r="B6" s="3">
        <v>707070</v>
      </c>
      <c r="C6" s="3">
        <v>183500</v>
      </c>
      <c r="D6" s="3">
        <v>151440</v>
      </c>
      <c r="E6" s="3">
        <v>1042010</v>
      </c>
    </row>
    <row r="7" spans="1:5" x14ac:dyDescent="0.25">
      <c r="A7" s="2" t="s">
        <v>36</v>
      </c>
      <c r="B7" s="3">
        <v>157880</v>
      </c>
      <c r="C7" s="3">
        <v>219680</v>
      </c>
      <c r="D7" s="3">
        <v>157240</v>
      </c>
      <c r="E7" s="3">
        <v>534800</v>
      </c>
    </row>
    <row r="8" spans="1:5" x14ac:dyDescent="0.25">
      <c r="A8" s="2" t="s">
        <v>37</v>
      </c>
      <c r="B8" s="3">
        <v>113400</v>
      </c>
      <c r="C8" s="3">
        <v>163250</v>
      </c>
      <c r="D8" s="3">
        <v>169250</v>
      </c>
      <c r="E8" s="3">
        <v>445900</v>
      </c>
    </row>
    <row r="9" spans="1:5" x14ac:dyDescent="0.25">
      <c r="A9" s="2" t="s">
        <v>38</v>
      </c>
      <c r="B9" s="3"/>
      <c r="C9" s="3">
        <v>153300</v>
      </c>
      <c r="D9" s="3">
        <v>126600</v>
      </c>
      <c r="E9" s="3">
        <v>279900</v>
      </c>
    </row>
    <row r="10" spans="1:5" x14ac:dyDescent="0.25">
      <c r="A10" s="2" t="s">
        <v>39</v>
      </c>
      <c r="B10" s="3">
        <v>264865</v>
      </c>
      <c r="C10" s="3">
        <v>128200</v>
      </c>
      <c r="D10" s="3">
        <v>88590</v>
      </c>
      <c r="E10" s="3">
        <v>481655</v>
      </c>
    </row>
    <row r="11" spans="1:5" x14ac:dyDescent="0.25">
      <c r="A11" s="2" t="s">
        <v>40</v>
      </c>
      <c r="B11" s="3">
        <v>70100</v>
      </c>
      <c r="C11" s="3">
        <v>101900</v>
      </c>
      <c r="D11" s="3">
        <v>95000</v>
      </c>
      <c r="E11" s="3">
        <v>267000</v>
      </c>
    </row>
    <row r="12" spans="1:5" x14ac:dyDescent="0.25">
      <c r="A12" s="2" t="s">
        <v>41</v>
      </c>
      <c r="B12" s="3">
        <v>200080</v>
      </c>
      <c r="C12" s="3">
        <v>202940</v>
      </c>
      <c r="D12" s="3">
        <v>267460</v>
      </c>
      <c r="E12" s="3">
        <v>670480</v>
      </c>
    </row>
    <row r="13" spans="1:5" x14ac:dyDescent="0.25">
      <c r="A13" s="2" t="s">
        <v>10</v>
      </c>
      <c r="B13" s="3">
        <v>1837525</v>
      </c>
      <c r="C13" s="3">
        <v>1739460</v>
      </c>
      <c r="D13" s="3">
        <v>1625800</v>
      </c>
      <c r="E13" s="3">
        <v>5202785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ujet xmlns="037ed5ce-9e80-41f7-81a5-4f297c26d5d9">Power Pivot</Sujet>
    <Langue xmlns="037ed5ce-9e80-41f7-81a5-4f297c26d5d9">FRANCAIS</Langue>
    <Niveau xmlns="037ed5ce-9e80-41f7-81a5-4f297c26d5d9">Avancé</Niveau>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xml version="1.0" encoding="utf-8"?>
<?mso-contentType ?>
<FormTemplates xmlns="http://schemas.microsoft.com/sharepoint/v3/contenttype/forms">
  <Display>DocumentLibraryForm</Display>
  <Edit>DocumentLibraryForm</Edit>
  <New>DocumentLibraryForm</New>
</FormTemplates>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608818F5-1425-4B7B-A605-E5A4CD372E20}">
  <ds:schemaRefs>
    <ds:schemaRef ds:uri="http://schemas.microsoft.com/DataMashup"/>
  </ds:schemaRefs>
</ds:datastoreItem>
</file>

<file path=customXml/itemProps2.xml><?xml version="1.0" encoding="utf-8"?>
<ds:datastoreItem xmlns:ds="http://schemas.openxmlformats.org/officeDocument/2006/customXml" ds:itemID="{D1B0DE01-F311-4992-BDC1-3137A8DCD0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DDDE5D-722B-4C8B-93B2-3BAF1CE1ADCF}">
  <ds:schemaRefs>
    <ds:schemaRef ds:uri="http://gemini/pivotcustomization/ManualCalcMode"/>
  </ds:schemaRefs>
</ds:datastoreItem>
</file>

<file path=customXml/itemProps4.xml><?xml version="1.0" encoding="utf-8"?>
<ds:datastoreItem xmlns:ds="http://schemas.openxmlformats.org/officeDocument/2006/customXml" ds:itemID="{49D03DAD-F70F-4976-AF2C-8BC47189F9DF}">
  <ds:schemaRefs>
    <ds:schemaRef ds:uri="http://gemini/pivotcustomization/TableXML_SUBCAT_ec2b0808-f1ac-4a2b-a501-eb0e62249e74"/>
  </ds:schemaRefs>
</ds:datastoreItem>
</file>

<file path=customXml/itemProps5.xml><?xml version="1.0" encoding="utf-8"?>
<ds:datastoreItem xmlns:ds="http://schemas.openxmlformats.org/officeDocument/2006/customXml" ds:itemID="{E0DC5498-60D2-4D64-B816-1B74052D7C0E}">
  <ds:schemaRefs/>
</ds:datastoreItem>
</file>

<file path=customXml/itemProps6.xml><?xml version="1.0" encoding="utf-8"?>
<ds:datastoreItem xmlns:ds="http://schemas.openxmlformats.org/officeDocument/2006/customXml" ds:itemID="{7012C4A0-B820-4607-A348-F7B366619297}">
  <ds:schemaRefs/>
</ds:datastoreItem>
</file>

<file path=customXml/itemProps7.xml><?xml version="1.0" encoding="utf-8"?>
<ds:datastoreItem xmlns:ds="http://schemas.openxmlformats.org/officeDocument/2006/customXml" ds:itemID="{DBF9CCA2-28F7-461C-8FE5-A474F4629802}">
  <ds:schemaRefs/>
</ds:datastoreItem>
</file>

<file path=customXml/itemProps8.xml><?xml version="1.0" encoding="utf-8"?>
<ds:datastoreItem xmlns:ds="http://schemas.openxmlformats.org/officeDocument/2006/customXml" ds:itemID="{BA56A05A-9825-4586-9960-3F7D4A69300A}">
  <ds:schemaRefs>
    <ds:schemaRef ds:uri="http://gemini/pivotcustomization/FormulaBarState"/>
  </ds:schemaRefs>
</ds:datastoreItem>
</file>

<file path=customXml/itemProps9.xml><?xml version="1.0" encoding="utf-8"?>
<ds:datastoreItem xmlns:ds="http://schemas.openxmlformats.org/officeDocument/2006/customXml" ds:itemID="{F8328289-DE4F-4639-8636-6E10AE5C2721}">
  <ds:schemaRefs>
    <ds:schemaRef ds:uri="http://gemini/pivotcustomization/TableOrder"/>
  </ds:schemaRefs>
</ds:datastoreItem>
</file>

<file path=customXml/itemProps10.xml><?xml version="1.0" encoding="utf-8"?>
<ds:datastoreItem xmlns:ds="http://schemas.openxmlformats.org/officeDocument/2006/customXml" ds:itemID="{B0D2CCC6-F411-4A77-AFE1-B75D0FA55CA6}">
  <ds:schemaRefs/>
</ds:datastoreItem>
</file>

<file path=customXml/itemProps11.xml><?xml version="1.0" encoding="utf-8"?>
<ds:datastoreItem xmlns:ds="http://schemas.openxmlformats.org/officeDocument/2006/customXml" ds:itemID="{F472BCA9-E4A2-4B7C-8CEF-1F46CD7DC30C}">
  <ds:schemaRefs>
    <ds:schemaRef ds:uri="http://schemas.microsoft.com/office/2006/metadata/properties"/>
    <ds:schemaRef ds:uri="http://schemas.microsoft.com/office/infopath/2007/PartnerControls"/>
    <ds:schemaRef ds:uri="037ed5ce-9e80-41f7-81a5-4f297c26d5d9"/>
  </ds:schemaRefs>
</ds:datastoreItem>
</file>

<file path=customXml/itemProps12.xml><?xml version="1.0" encoding="utf-8"?>
<ds:datastoreItem xmlns:ds="http://schemas.openxmlformats.org/officeDocument/2006/customXml" ds:itemID="{1CD11FE0-2D3D-487E-A9C1-4B4E929BF2D9}">
  <ds:schemaRefs/>
</ds:datastoreItem>
</file>

<file path=customXml/itemProps13.xml><?xml version="1.0" encoding="utf-8"?>
<ds:datastoreItem xmlns:ds="http://schemas.openxmlformats.org/officeDocument/2006/customXml" ds:itemID="{8B2834B2-1CA7-4E6B-A83D-1CF00697D8DB}">
  <ds:schemaRefs>
    <ds:schemaRef ds:uri="http://gemini/pivotcustomization/TableXML_SERVICES_aaf14749-af43-4488-88c8-e2233b12b91e"/>
  </ds:schemaRefs>
</ds:datastoreItem>
</file>

<file path=customXml/itemProps14.xml><?xml version="1.0" encoding="utf-8"?>
<ds:datastoreItem xmlns:ds="http://schemas.openxmlformats.org/officeDocument/2006/customXml" ds:itemID="{671646B7-64C0-4928-B88A-8AF1AFCAE5F4}">
  <ds:schemaRefs>
    <ds:schemaRef ds:uri="http://gemini/pivotcustomization/TableXML_SERVICES_9aa7379b-a674-4888-8a20-dbd46579bcec"/>
  </ds:schemaRefs>
</ds:datastoreItem>
</file>

<file path=customXml/itemProps15.xml><?xml version="1.0" encoding="utf-8"?>
<ds:datastoreItem xmlns:ds="http://schemas.openxmlformats.org/officeDocument/2006/customXml" ds:itemID="{BC1A84A8-A47A-48E8-9F84-054DD243F35B}">
  <ds:schemaRefs>
    <ds:schemaRef ds:uri="http://gemini/pivotcustomization/ShowHidden"/>
  </ds:schemaRefs>
</ds:datastoreItem>
</file>

<file path=customXml/itemProps16.xml><?xml version="1.0" encoding="utf-8"?>
<ds:datastoreItem xmlns:ds="http://schemas.openxmlformats.org/officeDocument/2006/customXml" ds:itemID="{A00A0870-1AAE-4B37-87AF-6DC5BAF801A3}">
  <ds:schemaRefs>
    <ds:schemaRef ds:uri="http://gemini/pivotcustomization/ShowImplicitMeasures"/>
  </ds:schemaRefs>
</ds:datastoreItem>
</file>

<file path=customXml/itemProps17.xml><?xml version="1.0" encoding="utf-8"?>
<ds:datastoreItem xmlns:ds="http://schemas.openxmlformats.org/officeDocument/2006/customXml" ds:itemID="{2214EB91-47D2-4C51-8D62-94D949891EA3}">
  <ds:schemaRefs/>
</ds:datastoreItem>
</file>

<file path=customXml/itemProps18.xml><?xml version="1.0" encoding="utf-8"?>
<ds:datastoreItem xmlns:ds="http://schemas.openxmlformats.org/officeDocument/2006/customXml" ds:itemID="{D2AEF41B-BA8C-4232-8145-B6A870FA4F51}">
  <ds:schemaRefs/>
</ds:datastoreItem>
</file>

<file path=customXml/itemProps19.xml><?xml version="1.0" encoding="utf-8"?>
<ds:datastoreItem xmlns:ds="http://schemas.openxmlformats.org/officeDocument/2006/customXml" ds:itemID="{73044C35-A384-4872-BF21-D6CBA8E13DBE}">
  <ds:schemaRefs>
    <ds:schemaRef ds:uri="http://gemini/pivotcustomization/TableXML_INVOICES_57a7c973-d3de-4f42-bc3c-72f07b9ddba7"/>
  </ds:schemaRefs>
</ds:datastoreItem>
</file>

<file path=customXml/itemProps20.xml><?xml version="1.0" encoding="utf-8"?>
<ds:datastoreItem xmlns:ds="http://schemas.openxmlformats.org/officeDocument/2006/customXml" ds:itemID="{0FD71790-54C6-4AC2-9D54-687D6D86B58D}">
  <ds:schemaRefs>
    <ds:schemaRef ds:uri="http://gemini/pivotcustomization/TableXML_Calendar"/>
  </ds:schemaRefs>
</ds:datastoreItem>
</file>

<file path=customXml/itemProps21.xml><?xml version="1.0" encoding="utf-8"?>
<ds:datastoreItem xmlns:ds="http://schemas.openxmlformats.org/officeDocument/2006/customXml" ds:itemID="{B39F94F3-B94B-4E3A-9027-B31F5E01C29C}">
  <ds:schemaRefs>
    <ds:schemaRef ds:uri="http://gemini/pivotcustomization/f249d789-ce75-4222-a72d-6cc91a6820a0"/>
  </ds:schemaRefs>
</ds:datastoreItem>
</file>

<file path=customXml/itemProps22.xml><?xml version="1.0" encoding="utf-8"?>
<ds:datastoreItem xmlns:ds="http://schemas.openxmlformats.org/officeDocument/2006/customXml" ds:itemID="{F6676426-8B8A-42C9-AE64-D2CE184782FB}">
  <ds:schemaRefs/>
</ds:datastoreItem>
</file>

<file path=customXml/itemProps23.xml><?xml version="1.0" encoding="utf-8"?>
<ds:datastoreItem xmlns:ds="http://schemas.openxmlformats.org/officeDocument/2006/customXml" ds:itemID="{5DD046D7-E42F-4EDD-9AD1-5AFA958A856C}">
  <ds:schemaRefs>
    <ds:schemaRef ds:uri="http://gemini/pivotcustomization/LinkedTableUpdateMode"/>
  </ds:schemaRefs>
</ds:datastoreItem>
</file>

<file path=customXml/itemProps24.xml><?xml version="1.0" encoding="utf-8"?>
<ds:datastoreItem xmlns:ds="http://schemas.openxmlformats.org/officeDocument/2006/customXml" ds:itemID="{8DBB6D29-1771-47DF-B539-6566C64C21AD}">
  <ds:schemaRefs/>
</ds:datastoreItem>
</file>

<file path=customXml/itemProps25.xml><?xml version="1.0" encoding="utf-8"?>
<ds:datastoreItem xmlns:ds="http://schemas.openxmlformats.org/officeDocument/2006/customXml" ds:itemID="{6FA72C96-96B9-4016-8D82-CF68ED4170A2}">
  <ds:schemaRefs>
    <ds:schemaRef ds:uri="http://gemini/pivotcustomization/TableXML_dimCat_c242b359-35cc-4097-9a00-143c096be345"/>
  </ds:schemaRefs>
</ds:datastoreItem>
</file>

<file path=customXml/itemProps26.xml><?xml version="1.0" encoding="utf-8"?>
<ds:datastoreItem xmlns:ds="http://schemas.openxmlformats.org/officeDocument/2006/customXml" ds:itemID="{3A8DBDAC-6179-4069-ABA2-0EB4A6FF84DD}">
  <ds:schemaRefs>
    <ds:schemaRef ds:uri="http://schemas.microsoft.com/sharepoint/v3/contenttype/forms"/>
  </ds:schemaRefs>
</ds:datastoreItem>
</file>

<file path=customXml/itemProps27.xml><?xml version="1.0" encoding="utf-8"?>
<ds:datastoreItem xmlns:ds="http://schemas.openxmlformats.org/officeDocument/2006/customXml" ds:itemID="{4DA1846A-BBFE-45D5-BF5A-D1A865E3C99E}">
  <ds:schemaRefs>
    <ds:schemaRef ds:uri="http://gemini/pivotcustomization/TableOrder_Invoices"/>
  </ds:schemaRefs>
</ds:datastoreItem>
</file>

<file path=customXml/itemProps28.xml><?xml version="1.0" encoding="utf-8"?>
<ds:datastoreItem xmlns:ds="http://schemas.openxmlformats.org/officeDocument/2006/customXml" ds:itemID="{4F48C90E-1903-4714-80BC-176C2F6DAB27}">
  <ds:schemaRefs>
    <ds:schemaRef ds:uri="http://gemini/pivotcustomization/cecdf7fc-c750-49b5-a6da-0a57bdffa1e0"/>
  </ds:schemaRefs>
</ds:datastoreItem>
</file>

<file path=customXml/itemProps29.xml><?xml version="1.0" encoding="utf-8"?>
<ds:datastoreItem xmlns:ds="http://schemas.openxmlformats.org/officeDocument/2006/customXml" ds:itemID="{CB1D049D-B49C-447D-8C1D-6214228FCE29}">
  <ds:schemaRefs/>
</ds:datastoreItem>
</file>

<file path=customXml/itemProps30.xml><?xml version="1.0" encoding="utf-8"?>
<ds:datastoreItem xmlns:ds="http://schemas.openxmlformats.org/officeDocument/2006/customXml" ds:itemID="{6D8A9CF2-8B00-478B-8A28-1D2B8C381B31}">
  <ds:schemaRefs/>
</ds:datastoreItem>
</file>

<file path=customXml/itemProps31.xml><?xml version="1.0" encoding="utf-8"?>
<ds:datastoreItem xmlns:ds="http://schemas.openxmlformats.org/officeDocument/2006/customXml" ds:itemID="{9750489C-82B8-4A40-B2EB-DA2C5B0937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PTC_YearType</vt:lpstr>
      <vt:lpstr>PV_ClientsTop10</vt:lpstr>
      <vt:lpstr>PT_KPIs</vt:lpstr>
      <vt:lpstr>PTC_YearCat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2025-03-31T14:41:58Z</dcterms:created>
  <dcterms:modified xsi:type="dcterms:W3CDTF">2026-09-21T17:02:29Z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ModuleName">
    <vt:lpwstr>;#Pivot table;#POWER PIVOT;#</vt:lpwstr>
  </property>
</Properties>
</file>