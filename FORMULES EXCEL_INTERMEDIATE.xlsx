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trlProps/ctrlProp3.xml" ContentType="application/vnd.ms-excel.controlproperties+xml"/>
  <Override PartName="/xl/drawings/drawing3.xml" ContentType="application/vnd.openxmlformats-officedocument.drawing+xml"/>
  <Override PartName="/xl/tables/table4.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tables/table7.xml" ContentType="application/vnd.openxmlformats-officedocument.spreadsheetml.table+xml"/>
  <Override PartName="/xl/queryTables/queryTable1.xml" ContentType="application/vnd.openxmlformats-officedocument.spreadsheetml.queryTable+xml"/>
  <Override PartName="/xl/drawings/drawing1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never" codeName="ThisWorkbook"/>
  <mc:AlternateContent xmlns:mc="http://schemas.openxmlformats.org/markup-compatibility/2006">
    <mc:Choice Requires="x15">
      <x15ac:absPath xmlns:x15ac="http://schemas.microsoft.com/office/spreadsheetml/2010/11/ac" url="https://lmoreau.sharepoint.com/sites/FORMATIONS2/EXCEL/EXCEL-GENERAL/"/>
    </mc:Choice>
  </mc:AlternateContent>
  <xr:revisionPtr revIDLastSave="788" documentId="8_{00A6034F-1185-4B04-9816-3CE592967BFF}" xr6:coauthVersionLast="47" xr6:coauthVersionMax="47" xr10:uidLastSave="{BE933D41-3B1F-4FEF-88DB-FF277E0F9AF0}"/>
  <bookViews>
    <workbookView xWindow="28680" yWindow="-120" windowWidth="29040" windowHeight="16440" tabRatio="728" firstSheet="2" activeTab="10" xr2:uid="{7015EBEA-96E4-4862-A530-BDBC7F61C54A}"/>
  </bookViews>
  <sheets>
    <sheet name="TRADFUNCTIONS" sheetId="39" r:id="rId1"/>
    <sheet name="TRAD" sheetId="38" r:id="rId2"/>
    <sheet name="A2. ARRAY" sheetId="33" r:id="rId3"/>
    <sheet name="MENU" sheetId="22" r:id="rId4"/>
    <sheet name="10. LOGIC" sheetId="3" r:id="rId5"/>
    <sheet name="50. FILTER" sheetId="1" r:id="rId6"/>
    <sheet name="50. SORT" sheetId="13" r:id="rId7"/>
    <sheet name="60. INDEX" sheetId="23" r:id="rId8"/>
    <sheet name="60. VLOOKUP" sheetId="17" r:id="rId9"/>
    <sheet name="60. HLOOKUP" sheetId="12" r:id="rId10"/>
    <sheet name="60. XLOOKUP" sheetId="11" r:id="rId11"/>
    <sheet name="70. FREQUENCY - RANK" sheetId="28" r:id="rId12"/>
    <sheet name="100. LET" sheetId="25" r:id="rId13"/>
    <sheet name="110. LAMBDA" sheetId="19" r:id="rId14"/>
  </sheets>
  <definedNames>
    <definedName name="_xlnm._FilterDatabase" localSheetId="5" hidden="1">'50. FILTER'!$B$5:$H$25</definedName>
    <definedName name="_xlpm.currTbl" hidden="1">#NAME?</definedName>
    <definedName name="_xlpm.rng" hidden="1">#NAME?</definedName>
    <definedName name="_xlpm.start" hidden="1">#NAME?</definedName>
    <definedName name="_xlpm.values" hidden="1">#NAME?</definedName>
    <definedName name="ANDvalue">IF(eng_flag,"AND","ET")</definedName>
    <definedName name="arrayfct">'A2. ARRAY'!$A$1</definedName>
    <definedName name="Born_in">'50. FILTER'!$E$6:$E$25</definedName>
    <definedName name="CalcAreaCircle">_xlfn.LAMBDA(_xlpm.r,PI()*_xlpm.r^2)</definedName>
    <definedName name="CalculDesHeures">#REF!</definedName>
    <definedName name="City">'50. FILTER'!$G$6:$G$25</definedName>
    <definedName name="COGS" comment="This function calculates Cost Of Goods Sold (COGS) based on number of units at the beginning of the period (Begin), number of units at the end of the period (End) and the value per unit (Value) using the formula: (Begin-End)*Value.">_xlfn.LAMBDA(_xlpm.Begin,_xlpm.End,_xlpm.Value,(_xlpm.Begin - _xlpm.End) * _xlpm.Value)</definedName>
    <definedName name="condstats">#REF!</definedName>
    <definedName name="Createlink">_xlfn.LAMBDA(_xlpm.sheet,_xlpm.label, HYPERLINK("#'" &amp; _xlpm.sheet &amp; "'!A1", _xlpm.label))</definedName>
    <definedName name="datefct">#REF!</definedName>
    <definedName name="DELTA">'10. LOGIC'!$B$54</definedName>
    <definedName name="eng_flag">TRAD!$C$4=1</definedName>
    <definedName name="errorfct">#REF!</definedName>
    <definedName name="ExternalData_1" localSheetId="12" hidden="1">'100. LET'!$B$21:$G$33</definedName>
    <definedName name="filterfct">'50. FILTER'!$A$3</definedName>
    <definedName name="FiscalQLookupTable" comment="Approximate Match Lookup Table to convert month number to fiscal quarter number where July 1 is first month in fiscal quarter.">{1,3;4,4;7,1;10,2}</definedName>
    <definedName name="FiscalQuarter" comment="This function allows you to enter a serial number date and the function will deliver a fiscal quarter based on July 1 as first day in Fiscal Year.">_xlfn.LAMBDA(_xlpm.Date,"Q" &amp; LOOKUP(MONTH(_xlpm.Date), {1,3;4,4;7,1;10,2}))</definedName>
    <definedName name="forecastfct">#REF!</definedName>
    <definedName name="freqfct">'70. FREQUENCY - RANK'!$A$3</definedName>
    <definedName name="Gender">'50. FILTER'!$F$6:$F$25</definedName>
    <definedName name="groupdbyfct">#REF!</definedName>
    <definedName name="hlookupfct">'60. HLOOKUP'!$A$3</definedName>
    <definedName name="HX_BonusFromID">'60. HLOOKUP'!$G$9:$AE$9</definedName>
    <definedName name="HX_EmployeeID">'60. HLOOKUP'!$G$8:$AE$8</definedName>
    <definedName name="HX_SalaryRange">'60. HLOOKUP'!$F$28:$F$32</definedName>
    <definedName name="indexfct">'60. INDEX'!$A$3</definedName>
    <definedName name="lambdafct">'110. LAMBDA'!$A$3</definedName>
    <definedName name="letfct">'100. LET'!$A$3</definedName>
    <definedName name="Liste_Liens_Menu">TRAD!$D$14:$D$21</definedName>
    <definedName name="logicfct">'10. LOGIC'!$A$3</definedName>
    <definedName name="lst_moiscourt">TRAD!$N$13:$N$24</definedName>
    <definedName name="lst_moislong">TRAD!$O$13:$O$24</definedName>
    <definedName name="lst_monthlong">TRAD!$Q$13:$Q$24</definedName>
    <definedName name="lst_monthShort">TRAD!$P$13:$P$24</definedName>
    <definedName name="MENU_CHOICE">IF(eng_flag,TRAD!$B$13:$B$21,TRAD!$C$13:$C$21)</definedName>
    <definedName name="Missing_txt">IF(eng_flag,"MISSING DATA ON ROW","DONNEES MANQUANTES A LA LIGNE ")</definedName>
    <definedName name="NotFound">IF(eng_flag,"Not found","Pas Trouvé")</definedName>
    <definedName name="ORvalue">IF(eng_flag,"OR","OU")</definedName>
    <definedName name="pivotfct">#REF!</definedName>
    <definedName name="Q1_horiz">{"Jan","Feb","Mar"}</definedName>
    <definedName name="Quarter1">{"January";"February";"March"}</definedName>
    <definedName name="RemoveChar" comment="This function uses recursion to remove the specified digits from a text string.">_xlfn.LAMBDA(_xlpm.Text,_xlpm.CharToRemove, IF(_xlpm.CharToRemove="", TRIM(_xlpm.Text), RemoveChar(SUBSTITUTE(_xlpm.Text,LEFT(_xlpm.CharToRemove),""), RIGHT(_xlpm.CharToRemove,LEN(_xlpm.CharToRemove)-1))))</definedName>
    <definedName name="RemoveCharR" comment="Remove specified characters listed in a single cell using REDUCE.">_xlfn.LAMBDA(_xlpm.Text,_xlpm.CharToRemove, TRIM(_xlfn.REDUCE(_xlpm.Text, MID(_xlpm.CharToRemove,_xlfn.SEQUENCE(LEN(_xlpm.CharToRemove)),1), _xlfn.LAMBDA(_xlpm.i,_xlpm.a,SUBSTITUTE(_xlpm.i,_xlpm.a,"")))))</definedName>
    <definedName name="RemoveNumbersFromText" comment="This function will remove the digits 0,1,2,3,4,5,6,7,8,9 from a test string.">_xlfn.LAMBDA(_xlpm.text,TRIM(_xlfn.REDUCE(_xlpm.text, _xlfn.SEQUENCE(10, , 0), _xlfn.LAMBDA(_xlpm.i,_xlpm.a, SUBSTITUTE(_xlpm.i, _xlpm.a, "")))))</definedName>
    <definedName name="roundfct">#REF!</definedName>
    <definedName name="Salary">'50. FILTER'!$D$6:$D$25</definedName>
    <definedName name="salfilt">'50. FILTER'!$M$8:$M$15</definedName>
    <definedName name="ShowFormulas">_xlfn.LAMBDA(_xlpm.reference,IFERROR(_xlfn.TOCOL(ADDRESS(ROW(_xlpm.reference), COLUMN(_xlpm.reference), 4) &amp; ": " &amp; _xlfn.FORMULATEXT(_xlpm.reference), 2), ""))</definedName>
    <definedName name="sortfct">'50. SORT'!$A$3</definedName>
    <definedName name="SpaceBeforeCaps" comment="This function will insert spaces before capital letters.">_xlfn.LAMBDA(_xlpm.Text, TRIM(_xlfn.REDUCE( _xlpm.Text, CHAR(_xlfn.SEQUENCE(26, , 65)), _xlfn.LAMBDA(_xlpm.i,_xlpm.a, SUBSTITUTE(_xlpm.i, _xlpm.a, " "&amp;_xlpm.a)))))</definedName>
    <definedName name="SQRTOfCUbes">_xlfn.LAMBDA(_xlpm.a,_xlpm.b,ROUNDUP(SQRT(_xlpm.a^3+_xlpm.b^3),0))</definedName>
    <definedName name="statusList">IF(eng_flag,TRAD!$O$29:$O$35,TRAD!$P$29:$P$35)</definedName>
    <definedName name="stdevfct">#REF!</definedName>
    <definedName name="sumprodfct">#REF!</definedName>
    <definedName name="tablemanip">#REF!</definedName>
    <definedName name="tauxTVA">'50. FILTER'!$U$19</definedName>
    <definedName name="textfct">#REF!</definedName>
    <definedName name="total1693">#REF!</definedName>
    <definedName name="TradSheetLocator">TRAD!$A$27</definedName>
    <definedName name="Translatefct">_xlfn.LAMBDA(_xlpm.fct_index,_xlpm.Desc_flag,VLOOKUP(_xlpm.fct_index,tbl_tradfunctions[],3-eng_flag+_xlpm.Desc_flag*2))</definedName>
    <definedName name="TranslateMe">_xlfn.LAMBDA(_xlpm.cellref,IF(eng_flag,INDEX(TRAD!$B:$B,_xlpm.cellref),INDEX(TRAD!$C:$C,_xlpm.cellref)))</definedName>
    <definedName name="trendfct">#REF!</definedName>
    <definedName name="txt_BornIn">IF(eng_flag,"Born in","Né(e) en ")</definedName>
    <definedName name="txt_Country">IF(eng_flag,"Country","Pays")</definedName>
    <definedName name="txt_days">IF(eng_flag," days "," jours ")</definedName>
    <definedName name="txt_dpt">IF(eng_flag,"Department","Département")</definedName>
    <definedName name="txt_Employe">IF(eng_flag,"Employee","Employé")</definedName>
    <definedName name="txt_Genre">IF(eng_flag,"Gender","Genre")</definedName>
    <definedName name="txt_hours">IF(eng_flag,"Hours","Heures")</definedName>
    <definedName name="txt_Month_trad">IF(eng_flag," Month "," Mois ")</definedName>
    <definedName name="txt_Name">IF(eng_flag,"Name","Nom")</definedName>
    <definedName name="txt_NotFound">IF(eng_flag,"NOT FOUND","NON TROUVE")</definedName>
    <definedName name="txt_PA">IF(eng_flag,"Cost","Prix achat")</definedName>
    <definedName name="txt_Prod">IF(eng_flag,"Products","Produits")</definedName>
    <definedName name="txt_PU">IF(eng_flag,"Unit Price","Prix unitaire")</definedName>
    <definedName name="txt_Qte">IF(eng_flag,"Qty","Qté")</definedName>
    <definedName name="txt_Quarter">IF(eng_flag,"Q","T")</definedName>
    <definedName name="txt_Revenu">IF(eng_flag,"Revenue","Revenu")</definedName>
    <definedName name="txt_salaire">IF(eng_flag,"Salary","Salaire")</definedName>
    <definedName name="txt_status">IF(eng_flag,"Status","Statut")</definedName>
    <definedName name="txt_SUM">IF(eng_flag,"SUM","SOMME")</definedName>
    <definedName name="txt_VILLE">IF(eng_flag,"City","Ville")</definedName>
    <definedName name="txt_Year">IF(eng_flag,"Year","Année")</definedName>
    <definedName name="txt_years">IF(eng_flag," year "," ans ")</definedName>
    <definedName name="vlookupfct">'60. VLOOKUP'!$A$3</definedName>
    <definedName name="xlookupfct">'60. XLOOKUP'!$A$3</definedName>
    <definedName name="yesvalue">IF(eng_flag,"YES","OUI")</definedName>
    <definedName name="ZeroToTen" comment="Name creates a vertical array of numbers from 0 to 10.">_xlfn.SEQUENCE(11, , 0)</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25" l="1"/>
  <c r="D1" i="25" a="1"/>
  <c r="M22" i="28" a="1"/>
  <c r="M12" i="28" a="1"/>
  <c r="J4" i="28" a="1"/>
  <c r="D4" i="28" a="1"/>
  <c r="J77" i="11" a="1"/>
  <c r="J68" i="11" a="1"/>
  <c r="M56" i="11" a="1"/>
  <c r="J56" i="11" a="1"/>
  <c r="J47" i="11" a="1"/>
  <c r="M38" i="11" a="1"/>
  <c r="J38" i="11" a="1"/>
  <c r="J41" i="11" a="1"/>
  <c r="J29" i="11" a="1"/>
  <c r="J22" i="11" a="1"/>
  <c r="M16" i="11" a="1"/>
  <c r="M14" i="11" a="1"/>
  <c r="J14" i="11" a="1"/>
  <c r="K15" i="11" a="1"/>
  <c r="J6" i="11" a="1"/>
  <c r="J8" i="11"/>
  <c r="D4" i="11"/>
  <c r="E8" i="11"/>
  <c r="G8" i="11"/>
  <c r="K62" i="11" a="1"/>
  <c r="J20" i="17" a="1"/>
  <c r="J21" i="17" a="1"/>
  <c r="J17" i="17" a="1"/>
  <c r="F33" i="23" a="1"/>
  <c r="F28" i="23" a="1"/>
  <c r="F27" i="23" a="1"/>
  <c r="F22" i="23" a="1"/>
  <c r="F18" i="23" a="1"/>
  <c r="F11" i="23" a="1"/>
  <c r="F6" i="23" a="1"/>
  <c r="F7" i="23" a="1"/>
  <c r="F19" i="23" a="1"/>
  <c r="F15" i="23" a="1"/>
  <c r="F12" i="23" a="1"/>
  <c r="O7" i="13" a="1"/>
  <c r="J5" i="13" a="1"/>
  <c r="F5" i="13" a="1"/>
  <c r="C30" i="13" a="1"/>
  <c r="A30" i="13" a="1"/>
  <c r="N35" i="1" a="1"/>
  <c r="H35" i="1" a="1"/>
  <c r="B35" i="1" a="1"/>
  <c r="J27" i="1" a="1"/>
  <c r="J6" i="1" a="1"/>
  <c r="I37" i="1" a="1"/>
  <c r="T9" i="1" a="1"/>
  <c r="K29" i="1" a="1"/>
  <c r="N27" i="28"/>
  <c r="N26" i="28"/>
  <c r="N25" i="28"/>
  <c r="N24" i="28"/>
  <c r="N23" i="28"/>
  <c r="I4" i="28" a="1"/>
  <c r="H4" i="28" a="1"/>
  <c r="G4" i="28" a="1"/>
  <c r="F4" i="28" a="1"/>
  <c r="E4" i="28" a="1"/>
  <c r="C4" i="28" a="1"/>
  <c r="B4" i="28" a="1"/>
  <c r="J14" i="17"/>
  <c r="K7" i="17"/>
  <c r="J13" i="17" a="1"/>
  <c r="J5" i="17" a="1"/>
  <c r="F32" i="23" a="1"/>
  <c r="F5" i="23" a="1"/>
  <c r="F4" i="23" a="1"/>
  <c r="F7" i="13" a="1"/>
  <c r="F28" i="13" a="1"/>
  <c r="B88" i="1" a="1"/>
  <c r="L76" i="1" a="1"/>
  <c r="J72" i="1" a="1"/>
  <c r="J71" i="1" a="1"/>
  <c r="J59" i="1" a="1"/>
  <c r="F58" i="1" a="1"/>
  <c r="J5" i="1" a="1"/>
  <c r="AA27" i="3" a="1"/>
  <c r="AA28" i="3" a="1"/>
  <c r="AA29" i="3" a="1"/>
  <c r="AA30" i="3" a="1"/>
  <c r="AA31" i="3" a="1"/>
  <c r="AA32" i="3" a="1"/>
  <c r="B14" i="3" a="1"/>
  <c r="K25" i="3"/>
  <c r="I25" i="3" a="1"/>
  <c r="H25" i="3" a="1"/>
  <c r="G25" i="3" a="1"/>
  <c r="F25" i="3" a="1"/>
  <c r="E25" i="3" a="1"/>
  <c r="D25" i="3" a="1"/>
  <c r="C25" i="3" a="1"/>
  <c r="B25" i="3" a="1"/>
  <c r="K5" i="3"/>
  <c r="I5" i="3" a="1"/>
  <c r="H5" i="3" a="1"/>
  <c r="G5" i="3" a="1"/>
  <c r="F5" i="3" a="1"/>
  <c r="E5" i="3" a="1"/>
  <c r="D5" i="3" a="1"/>
  <c r="C5" i="3" a="1"/>
  <c r="B5" i="3" a="1"/>
  <c r="O28" i="3"/>
  <c r="O29" i="3"/>
  <c r="O30" i="3"/>
  <c r="O31" i="3"/>
  <c r="O32" i="3"/>
  <c r="O27" i="3"/>
  <c r="O34" i="3"/>
  <c r="L28" i="3"/>
  <c r="L29" i="3"/>
  <c r="L30" i="3"/>
  <c r="L31" i="3"/>
  <c r="L32" i="3"/>
  <c r="L33" i="3"/>
  <c r="L27" i="3"/>
  <c r="X32" i="3"/>
  <c r="U32" i="3"/>
  <c r="R32" i="3"/>
  <c r="J32" i="3"/>
  <c r="X31" i="3"/>
  <c r="U31" i="3"/>
  <c r="R31" i="3"/>
  <c r="J31" i="3"/>
  <c r="X30" i="3"/>
  <c r="U30" i="3"/>
  <c r="R30" i="3"/>
  <c r="J30" i="3"/>
  <c r="X29" i="3"/>
  <c r="U29" i="3"/>
  <c r="R29" i="3"/>
  <c r="J29" i="3"/>
  <c r="X28" i="3"/>
  <c r="U28" i="3"/>
  <c r="R28" i="3"/>
  <c r="J28" i="3"/>
  <c r="X27" i="3"/>
  <c r="U27" i="3"/>
  <c r="R27" i="3"/>
  <c r="J27" i="3"/>
  <c r="AA25" i="3"/>
  <c r="X25" i="3"/>
  <c r="U25" i="3"/>
  <c r="R25" i="3"/>
  <c r="G67" i="19"/>
  <c r="G62" i="19" a="1"/>
  <c r="E45" i="19" a="1"/>
  <c r="D1" i="19" a="1"/>
  <c r="C2" i="28" a="1"/>
  <c r="C1" i="28" a="1"/>
  <c r="E1" i="11" a="1"/>
  <c r="E2" i="12" a="1"/>
  <c r="AA4" i="3" a="1"/>
  <c r="X4" i="3" a="1"/>
  <c r="U4" i="3" a="1"/>
  <c r="R4" i="3" a="1"/>
  <c r="O4" i="3" a="1"/>
  <c r="L4" i="3" a="1"/>
  <c r="D2" i="1" a="1"/>
  <c r="A1" i="1" a="1"/>
  <c r="E1" i="17" a="1"/>
  <c r="A1" i="23" a="1"/>
  <c r="A1" i="13" a="1"/>
  <c r="A1" i="3" a="1"/>
  <c r="D17" i="3"/>
  <c r="F17" i="3"/>
  <c r="H17" i="3"/>
  <c r="D18" i="3"/>
  <c r="F18" i="3"/>
  <c r="H18" i="3"/>
  <c r="D19" i="3"/>
  <c r="F19" i="3"/>
  <c r="H19" i="3"/>
  <c r="B16" i="3"/>
  <c r="C16" i="3"/>
  <c r="A1" i="19" a="1"/>
  <c r="A1" i="25" a="1"/>
  <c r="A2" i="28" a="1"/>
  <c r="A1" i="28" a="1"/>
  <c r="A1" i="11" a="1"/>
  <c r="A1" i="12" a="1"/>
  <c r="A1" i="17" a="1"/>
  <c r="K4" i="13" a="1"/>
  <c r="J4" i="13" a="1"/>
  <c r="E4" i="13" a="1"/>
  <c r="F4" i="13" a="1"/>
  <c r="O37" i="1" a="1"/>
  <c r="C37" i="1" a="1"/>
  <c r="K8" i="1" a="1"/>
  <c r="O6" i="13"/>
  <c r="K30" i="3" l="1"/>
  <c r="K29" i="3"/>
  <c r="K27" i="3"/>
  <c r="K31" i="3"/>
  <c r="K28" i="3"/>
  <c r="K32" i="3"/>
  <c r="D16" i="3"/>
  <c r="E13" i="38" a="1"/>
  <c r="E14" i="38" a="1"/>
  <c r="E15" i="38" a="1"/>
  <c r="E16" i="38" a="1"/>
  <c r="E17" i="38" a="1"/>
  <c r="E18" i="38" a="1"/>
  <c r="E19" i="38" a="1"/>
  <c r="E20" i="38" a="1"/>
  <c r="E21" i="38" a="1"/>
  <c r="E22" i="38" a="1"/>
  <c r="E23" i="38" a="1"/>
  <c r="E24" i="38" a="1"/>
  <c r="H23" i="25" l="1"/>
  <c r="H24" i="25"/>
  <c r="H25" i="25"/>
  <c r="H26" i="25"/>
  <c r="H27" i="25"/>
  <c r="H28" i="25"/>
  <c r="H29" i="25"/>
  <c r="H30" i="25"/>
  <c r="H31" i="25"/>
  <c r="H7" i="25"/>
  <c r="H8" i="25"/>
  <c r="H9" i="25"/>
  <c r="H10" i="25"/>
  <c r="H11" i="25"/>
  <c r="H12" i="25"/>
  <c r="H13" i="25"/>
  <c r="H14" i="25"/>
  <c r="H15" i="25"/>
  <c r="H6" i="25"/>
  <c r="Q24" i="25"/>
  <c r="Q6" i="25"/>
  <c r="Q5" i="25"/>
  <c r="G45" i="19" l="1" a="1"/>
  <c r="J24" i="11"/>
  <c r="J18" i="17" a="1"/>
  <c r="N45" i="19" l="1" a="1"/>
  <c r="D5" i="28" a="1"/>
  <c r="N42" i="19" a="1"/>
  <c r="N41" i="19" a="1"/>
  <c r="G42" i="19" a="1"/>
  <c r="G41" i="19" a="1"/>
  <c r="B42" i="19" a="1"/>
  <c r="B41" i="19" a="1"/>
  <c r="G18" i="23" a="1"/>
  <c r="G6" i="23" a="1"/>
  <c r="G11" i="23" a="1"/>
  <c r="C58" i="1" a="1"/>
  <c r="B90" i="1" a="1"/>
  <c r="J74" i="1" a="1"/>
  <c r="J61" i="1" a="1"/>
  <c r="J51" i="11"/>
  <c r="J73" i="1"/>
  <c r="C29" i="13"/>
  <c r="L75" i="1"/>
  <c r="B89" i="1"/>
  <c r="A29" i="13"/>
  <c r="L50" i="11"/>
  <c r="J60" i="1"/>
  <c r="T5" i="1" l="1" a="1"/>
  <c r="D5" i="13" a="1"/>
  <c r="C5" i="13" a="1"/>
  <c r="B5" i="13" a="1"/>
  <c r="F29" i="13"/>
  <c r="K69" i="11" l="1" a="1"/>
  <c r="J32" i="11"/>
  <c r="L72" i="11"/>
  <c r="L69" i="11" l="1" a="1"/>
  <c r="K32" i="11" l="1"/>
  <c r="F16" i="23"/>
  <c r="F8" i="23" a="1"/>
  <c r="C22" i="33"/>
  <c r="F30" i="13" a="1"/>
  <c r="F13" i="23"/>
  <c r="K93" i="33" a="1"/>
  <c r="H93" i="33" a="1"/>
  <c r="E96" i="33" a="1"/>
  <c r="M78" i="33" a="1"/>
  <c r="G41" i="33" a="1"/>
  <c r="J41" i="33" a="1"/>
  <c r="F34" i="33" a="1"/>
  <c r="K96" i="33"/>
  <c r="D22" i="33"/>
  <c r="E98" i="33"/>
  <c r="D25" i="19"/>
  <c r="M80" i="33"/>
  <c r="F8" i="33"/>
  <c r="G17" i="19"/>
  <c r="H96" i="33"/>
  <c r="F20" i="23" l="1"/>
  <c r="F17" i="19" l="1" a="1"/>
  <c r="G58" i="19"/>
  <c r="N47" i="19"/>
  <c r="F3" i="33"/>
  <c r="E58" i="19"/>
  <c r="B3" i="33"/>
  <c r="C3" i="33"/>
  <c r="B4" i="33" l="1" a="1"/>
  <c r="F9" i="33" s="1" a="1"/>
  <c r="C4" i="33" a="1"/>
  <c r="F4" i="33" a="1"/>
  <c r="F6" i="33"/>
  <c r="F7" i="33" l="1" a="1"/>
  <c r="M11" i="33"/>
  <c r="B10" i="33"/>
  <c r="B11" i="33" a="1"/>
  <c r="B13" i="33" s="1" a="1"/>
  <c r="M12" i="33" a="1"/>
  <c r="C19" i="33" a="1"/>
  <c r="C21" i="33" a="1"/>
  <c r="B25" i="33" a="1"/>
  <c r="C25" i="33" a="1"/>
  <c r="B41" i="33" a="1"/>
  <c r="D43" i="33" s="1" a="1"/>
  <c r="D41" i="33" a="1"/>
  <c r="C49" i="33" a="1"/>
  <c r="B50" i="33" a="1"/>
  <c r="B59" i="33" a="1"/>
  <c r="D59" i="33" a="1"/>
  <c r="H59" i="33" a="1"/>
  <c r="B68" i="33" a="1"/>
  <c r="D68" i="33" a="1"/>
  <c r="D74" i="33" a="1"/>
  <c r="F77" i="33" s="1"/>
  <c r="C81" i="33" a="1"/>
  <c r="B82" i="33" a="1"/>
  <c r="G40" i="33"/>
  <c r="G19" i="33"/>
  <c r="B58" i="33"/>
  <c r="F35" i="33"/>
  <c r="I49" i="33"/>
  <c r="J40" i="33"/>
  <c r="B55" i="33"/>
  <c r="D21" i="33"/>
  <c r="D58" i="33"/>
  <c r="H58" i="33"/>
  <c r="D12" i="33"/>
  <c r="B12" i="33"/>
  <c r="I50" i="33"/>
  <c r="D67" i="33"/>
  <c r="B24" i="33"/>
  <c r="B67" i="33"/>
  <c r="C24" i="33"/>
  <c r="D13" i="33" l="1" a="1"/>
  <c r="C50" i="33" a="1"/>
  <c r="C82" i="33" a="1"/>
  <c r="E77" i="33"/>
  <c r="D78" i="33" s="1"/>
  <c r="G77" i="33"/>
  <c r="D77" i="33" l="1"/>
  <c r="J5" i="28" l="1" a="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G15" i="25"/>
  <c r="F15" i="25"/>
  <c r="G14" i="25"/>
  <c r="F14" i="25"/>
  <c r="G13" i="25"/>
  <c r="F13" i="25"/>
  <c r="G12" i="25"/>
  <c r="F12" i="25"/>
  <c r="G11" i="25"/>
  <c r="F11" i="25"/>
  <c r="G10" i="25"/>
  <c r="F10" i="25"/>
  <c r="G9" i="25"/>
  <c r="F9" i="25"/>
  <c r="G8" i="25"/>
  <c r="F8" i="25"/>
  <c r="G7" i="25"/>
  <c r="F7" i="25"/>
  <c r="G6" i="25"/>
  <c r="F6" i="25"/>
  <c r="M42" i="11"/>
  <c r="J46" i="28"/>
  <c r="D46" i="28"/>
  <c r="N22" i="28" l="1"/>
  <c r="C25" i="19" l="1" a="1"/>
  <c r="D6" i="19" a="1"/>
  <c r="I22" i="25"/>
  <c r="I23" i="25"/>
  <c r="I24" i="25"/>
  <c r="I25" i="25"/>
  <c r="I26" i="25"/>
  <c r="I27" i="25"/>
  <c r="I28" i="25"/>
  <c r="I29" i="25"/>
  <c r="I30" i="25"/>
  <c r="I31" i="25"/>
  <c r="K17" i="12"/>
  <c r="N28" i="28"/>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K16" i="12"/>
  <c r="N18" i="17"/>
  <c r="E6" i="19"/>
  <c r="L14" i="17"/>
  <c r="M18" i="28"/>
  <c r="Q25" i="25"/>
  <c r="M29" i="28"/>
  <c r="H46" i="11" l="1"/>
  <c r="H34" i="11"/>
  <c r="H31" i="11"/>
  <c r="H36" i="11"/>
  <c r="H51" i="11"/>
  <c r="H50" i="11"/>
  <c r="H38" i="11"/>
  <c r="H26" i="11"/>
  <c r="H49" i="11"/>
  <c r="H37" i="11"/>
  <c r="H52" i="11"/>
  <c r="H28" i="11"/>
  <c r="H48" i="11"/>
  <c r="H47" i="11"/>
  <c r="H41" i="11"/>
  <c r="H29" i="11"/>
  <c r="H39" i="11"/>
  <c r="H27" i="11"/>
  <c r="H40" i="11"/>
  <c r="H35" i="11"/>
  <c r="H45" i="11"/>
  <c r="H33" i="11"/>
  <c r="H30" i="11"/>
  <c r="H44" i="11"/>
  <c r="H43" i="11"/>
  <c r="H32" i="11"/>
  <c r="H42" i="11"/>
  <c r="K50" i="11" l="1" a="1"/>
  <c r="J50" i="11" a="1"/>
  <c r="F23" i="23" l="1" a="1"/>
  <c r="K22" i="17" l="1"/>
  <c r="F6" i="13"/>
  <c r="J8" i="3" l="1"/>
  <c r="J9" i="3"/>
  <c r="J10" i="3"/>
  <c r="J11" i="3"/>
  <c r="J12" i="3"/>
  <c r="J7" i="3"/>
  <c r="B36" i="1"/>
  <c r="H36" i="1"/>
  <c r="N36" i="1"/>
  <c r="J13" i="3" l="1"/>
  <c r="K61" i="11"/>
  <c r="K7" i="3" l="1"/>
  <c r="K11" i="3"/>
  <c r="K8" i="3"/>
  <c r="K10" i="3"/>
  <c r="K12" i="3"/>
  <c r="K9" i="3"/>
  <c r="H23" i="23"/>
  <c r="I28" i="23"/>
  <c r="H20" i="23"/>
  <c r="H8" i="23"/>
  <c r="H16" i="23"/>
  <c r="H13" i="23"/>
  <c r="F16" i="3" l="1"/>
  <c r="H16" i="3"/>
  <c r="F25" i="11"/>
  <c r="H25" i="11" s="1"/>
  <c r="I27" i="13"/>
  <c r="F8" i="11"/>
  <c r="H8" i="11" s="1"/>
  <c r="F24" i="11"/>
  <c r="H24" i="11" s="1"/>
  <c r="F23" i="11"/>
  <c r="H23" i="11" s="1"/>
  <c r="F22" i="11"/>
  <c r="H22" i="11" s="1"/>
  <c r="F21" i="11"/>
  <c r="H21" i="11" s="1"/>
  <c r="F20" i="11"/>
  <c r="H20" i="11" s="1"/>
  <c r="F19" i="11"/>
  <c r="F18" i="11"/>
  <c r="H18" i="11" s="1"/>
  <c r="F17" i="11"/>
  <c r="H17" i="11" s="1"/>
  <c r="F16" i="11"/>
  <c r="F15" i="11"/>
  <c r="H15" i="11" s="1"/>
  <c r="F14" i="11"/>
  <c r="H14" i="11" s="1"/>
  <c r="F13" i="11"/>
  <c r="H13" i="11" s="1"/>
  <c r="F12" i="11"/>
  <c r="H12" i="11" s="1"/>
  <c r="F11" i="11"/>
  <c r="H11" i="11" s="1"/>
  <c r="F10" i="11"/>
  <c r="F9" i="11"/>
  <c r="H9" i="11" s="1"/>
  <c r="H15" i="3"/>
  <c r="F15" i="3"/>
  <c r="J42" i="11"/>
  <c r="F5" i="11"/>
  <c r="J6" i="13"/>
  <c r="M16" i="12"/>
  <c r="L7" i="17"/>
  <c r="D15" i="3"/>
  <c r="H10" i="11" l="1"/>
  <c r="M41" i="11" a="1"/>
  <c r="J7" i="13" a="1"/>
  <c r="H19" i="11"/>
  <c r="M59" i="11" s="1"/>
  <c r="H16" i="11"/>
  <c r="J57" i="11" s="1" a="1"/>
  <c r="J78" i="11" s="1" a="1"/>
  <c r="J7" i="1"/>
  <c r="J28" i="1"/>
  <c r="K57" i="11"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147ED7-1B2F-4BE7-B3A2-5D3EFF4D9E4B}" keepAlive="1" name="Requête - 2020 Summer Olympics medal table[218] (2)" description="Connexion à la requête « 2020 Summer Olympics medal table[218] (2) » dans le classeur." type="5" refreshedVersion="8" background="1" saveData="1">
    <dbPr connection="Provider=Microsoft.Mashup.OleDb.1;Data Source=$Workbook$;Location=&quot;2020 Summer Olympics medal table[218] (2)&quot;;Extended Properties=&quot;&quot;" command="SELECT * FROM [2020 Summer Olympics medal table[218]]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<sst xmlns="http://schemas.openxmlformats.org/spreadsheetml/2006/main" count="2077" uniqueCount="1093">
  <si>
    <t>Index</t>
  </si>
  <si>
    <t>ENG</t>
  </si>
  <si>
    <t>FR</t>
  </si>
  <si>
    <t>DESCENG</t>
  </si>
  <si>
    <t>DESCFR</t>
  </si>
  <si>
    <t>FILTER</t>
  </si>
  <si>
    <t>FILTRE</t>
  </si>
  <si>
    <t>Returns an array of values that meet specified conditions.</t>
  </si>
  <si>
    <t>Renvoie un tableau de valeurs répondant à des critères spécifiés.</t>
  </si>
  <si>
    <t>SORT</t>
  </si>
  <si>
    <t>TRIER</t>
  </si>
  <si>
    <t>Sorts the contents of an array or range.</t>
  </si>
  <si>
    <t>Trie le contenu d'un tableau ou d'une plage de cellules.</t>
  </si>
  <si>
    <t>SORTBY</t>
  </si>
  <si>
    <t>TRIERPAR</t>
  </si>
  <si>
    <t>Sorts an array based on the values in a corresponding array.</t>
  </si>
  <si>
    <t>Trie un tableau en fonction des valeurs d'un tableau correspondant.</t>
  </si>
  <si>
    <t>UNIQUE</t>
  </si>
  <si>
    <t>Returns unique values from a range or array.</t>
  </si>
  <si>
    <t>Renvoie des valeurs uniques à partir d'une plage ou d'un tableau.</t>
  </si>
  <si>
    <t>SEQUENCE</t>
  </si>
  <si>
    <t>Generates a sequence of numbers in an array.</t>
  </si>
  <si>
    <t>Génère une séquence de nombres sous forme de tableau.</t>
  </si>
  <si>
    <t>RANDARRAY</t>
  </si>
  <si>
    <t>TABLEAU.ALEA</t>
  </si>
  <si>
    <t>Returns an array of random numbers.</t>
  </si>
  <si>
    <t>Renvoie un tableau de nombres aléatoires.</t>
  </si>
  <si>
    <t>ARRAYTOTEXT</t>
  </si>
  <si>
    <t>TABLEAU.EN.TEXTE</t>
  </si>
  <si>
    <t>Converts an array to a text string (two formats available).</t>
  </si>
  <si>
    <t>Convertit un tableau en une chaîne de texte (deux formats possibles).</t>
  </si>
  <si>
    <t>EXPAND</t>
  </si>
  <si>
    <t>ETENDRE</t>
  </si>
  <si>
    <t>Expands an array to a specified size by adding blank cells or values.</t>
  </si>
  <si>
    <t>Étend un tableau à une taille spécifiée en ajoutant des cellules vides ou des valeurs.</t>
  </si>
  <si>
    <t>TOCOL</t>
  </si>
  <si>
    <t>DANSCOLONNE</t>
  </si>
  <si>
    <t>Transforms a range or array into a single column.</t>
  </si>
  <si>
    <t>Transforme une plage ou un tableau en une seule colonne.</t>
  </si>
  <si>
    <t>TOROW</t>
  </si>
  <si>
    <t>DANSLIGNE</t>
  </si>
  <si>
    <t>Transforms a range or array into a single row.</t>
  </si>
  <si>
    <t>Transforme une plage ou un tableau en une seule ligne.</t>
  </si>
  <si>
    <t>WRAPCOLS</t>
  </si>
  <si>
    <t>ORGA.COLS</t>
  </si>
  <si>
    <t>Arranges values from a single column into multiple columns.</t>
  </si>
  <si>
    <t>Réorganise des valeurs d'une colonne unique en plusieurs colonnes.</t>
  </si>
  <si>
    <t>WRAPROWS</t>
  </si>
  <si>
    <t>ORGA.LIGNES</t>
  </si>
  <si>
    <t>Arranges values from a single row into multiple rows.</t>
  </si>
  <si>
    <t>Réorganise des valeurs d'une ligne unique en plusieurs lignes.</t>
  </si>
  <si>
    <t>CHOOSECOLS</t>
  </si>
  <si>
    <t>CHOISIRCOLS</t>
  </si>
  <si>
    <t>Selects specific columns from an array.</t>
  </si>
  <si>
    <t>Sélectionne des colonnes spécifiques à partir d'un tableau.</t>
  </si>
  <si>
    <t>CHOOSEROWS</t>
  </si>
  <si>
    <t>CHOISIRLIGNES</t>
  </si>
  <si>
    <t>Selects specific rows from an array.</t>
  </si>
  <si>
    <t>Sélectionne des lignes spécifiques à partir d'un tableau.</t>
  </si>
  <si>
    <t>VSTACK</t>
  </si>
  <si>
    <t>ASSEMB.V</t>
  </si>
  <si>
    <t>Vertically stacks arrays or ranges.</t>
  </si>
  <si>
    <t>Empile verticalement des tableaux ou des plages.</t>
  </si>
  <si>
    <t>HSTACK</t>
  </si>
  <si>
    <t>ASSEMB.H</t>
  </si>
  <si>
    <t>Horizontally stacks arrays or ranges.</t>
  </si>
  <si>
    <t>Empile horizontalement des tableaux ou des plages.</t>
  </si>
  <si>
    <t>XLOOKUP</t>
  </si>
  <si>
    <t>RECHERCHEX</t>
  </si>
  <si>
    <t>Advanced replacement for VLOOKUP and HLOOKUP, allowing for flexible lookups.
XLOOKUP(lookup_value, lookup_array, return_array, [if_not_found], [match_mode], [search_mode])</t>
  </si>
  <si>
    <t xml:space="preserve">Remplace RECHERCHEV et RECHERCHEH, permet des recherches plus flexibles.
=RECHERCHEX(valeur_cherchée, tableau_recherche, tableau_renvoyé, [si_non_trouvé], [mode_correspondance], [mode_recherche]) </t>
  </si>
  <si>
    <t>XMATCH</t>
  </si>
  <si>
    <t>EQUIVX</t>
  </si>
  <si>
    <t>Finds the relative position of a value in an array (replacement for MATCH).</t>
  </si>
  <si>
    <t>Renvoie la position relative d'une valeur dans un tableau (remplace EQUIV).</t>
  </si>
  <si>
    <t>LET</t>
  </si>
  <si>
    <t>Assigns names to calculation results to reuse them within a formula.</t>
  </si>
  <si>
    <t>Assigne des noms à des résultats de calcul pour les réutiliser dans une formule.</t>
  </si>
  <si>
    <t>LAMBDA</t>
  </si>
  <si>
    <t>Allows users to define custom, reusable functions.</t>
  </si>
  <si>
    <t>Permet de définir des fonctions personnalisées réutilisables.</t>
  </si>
  <si>
    <t>BYROW</t>
  </si>
  <si>
    <t>Applies a LAMBDA function to each row in an array.</t>
  </si>
  <si>
    <t>Applique une fonction LAMBDA à chaque ligne d'un tableau.</t>
  </si>
  <si>
    <t>BYCOL</t>
  </si>
  <si>
    <t>Applies a LAMBDA function to each column in an array.</t>
  </si>
  <si>
    <t>Applique une fonction LAMBDA à chaque colonne d'un tableau.</t>
  </si>
  <si>
    <t>MAKEARRAY</t>
  </si>
  <si>
    <t>CREERTABLEAU</t>
  </si>
  <si>
    <t>Creates an array based on a LAMBDA function.</t>
  </si>
  <si>
    <t>Crée un tableau en fonction d'une fonction LAMBDA.</t>
  </si>
  <si>
    <t>MAP</t>
  </si>
  <si>
    <t>CARTOGRAPHIE</t>
  </si>
  <si>
    <t>Applies a LAMBDA function to arrays, element by element.</t>
  </si>
  <si>
    <t>Applique une fonction LAMBDA élément par élément sur des tableaux.</t>
  </si>
  <si>
    <t>REDUCE</t>
  </si>
  <si>
    <t>Reduces an array to an accumulated value by applying a LAMBDA function.</t>
  </si>
  <si>
    <t>Réduit un tableau à une valeur cumulée en appliquant une fonction LAMBDA.</t>
  </si>
  <si>
    <t>SCAN</t>
  </si>
  <si>
    <t>Returns intermediate results of an accumulation operation for an array.</t>
  </si>
  <si>
    <t>Renvoie les résultats intermédiaires d'une opération cumulative sur un tableau.</t>
  </si>
  <si>
    <t>TEXTSPLIT</t>
  </si>
  <si>
    <t>FRACTIONNER.TEXTE</t>
  </si>
  <si>
    <t>Splits text strings into arrays using delimiters.</t>
  </si>
  <si>
    <t>Divise des chaînes de texte en tableaux à l'aide de délimiteurs.</t>
  </si>
  <si>
    <t>TAKE</t>
  </si>
  <si>
    <t>PRENDRE</t>
  </si>
  <si>
    <t>Returns a specified number of rows or columns from the start or end of an array.</t>
  </si>
  <si>
    <t>Renvoie un nombre spécifié de lignes ou de colonnes du début ou de la fin d'un tableau.</t>
  </si>
  <si>
    <t>DROP</t>
  </si>
  <si>
    <t>SUPPRIMER</t>
  </si>
  <si>
    <t>Excludes a specified number of rows or columns from an array.</t>
  </si>
  <si>
    <t>Exclut un nombre spécifié de lignes ou de colonnes d'un tableau.</t>
  </si>
  <si>
    <t>IMAGE</t>
  </si>
  <si>
    <t>Inserts an image into a cell from a URL.</t>
  </si>
  <si>
    <t>Insère une image dans une cellule à partir d'une URL.</t>
  </si>
  <si>
    <t>TEXTAFTER</t>
  </si>
  <si>
    <t>TEXTE.APRES</t>
  </si>
  <si>
    <t>Extracts text after a specified substring.</t>
  </si>
  <si>
    <t>Extrait le texte après une sous-chaîne spécifiée.</t>
  </si>
  <si>
    <t>TEXTBEFORE</t>
  </si>
  <si>
    <t>TEXTE.AVANT</t>
  </si>
  <si>
    <t>Extracts text before a specified substring.</t>
  </si>
  <si>
    <t>Extrait le texte avant une sous-chaîne spécifiée.</t>
  </si>
  <si>
    <t>STOCKHISTORY</t>
  </si>
  <si>
    <t>HISTORIQUE.ACTIONS</t>
  </si>
  <si>
    <t>Retrieves historical stock price data.</t>
  </si>
  <si>
    <t>Récupère les données historiques des cours boursiers.</t>
  </si>
  <si>
    <t>ISOMITTED</t>
  </si>
  <si>
    <t>Checks if a value is omitted from a LAMBDA or custom function.</t>
  </si>
  <si>
    <t>Vérifie si une valeur est omise dans une fonction LAMBDA ou personnalisée.</t>
  </si>
  <si>
    <t>IFERROR</t>
  </si>
  <si>
    <t>SIERREUR</t>
  </si>
  <si>
    <t>(Available earlier but updated) Handles errors and returns a specified value.</t>
  </si>
  <si>
    <t>(Disponible précédemment mais mise à jour) Gère les erreurs et renvoie une valeur spécifiée.</t>
  </si>
  <si>
    <t>IFNA</t>
  </si>
  <si>
    <t>SI.NA</t>
  </si>
  <si>
    <t>Handles #N/A errors specifically.</t>
  </si>
  <si>
    <t>Gère spécifiquement les erreurs #N/A.</t>
  </si>
  <si>
    <t>GROUPBY</t>
  </si>
  <si>
    <t>GROUPER.PAR</t>
  </si>
  <si>
    <t>aggregates rows in a dataset by one or more grouping columns</t>
  </si>
  <si>
    <t>permet de regrouper des lignes d’un tableau et d’appliquer une fonction d’agrégation</t>
  </si>
  <si>
    <t>PIVOTBY</t>
  </si>
  <si>
    <t>CROISER.AVEC</t>
  </si>
  <si>
    <t>summarizes data in a dynamic table format by grouping rows and calculating an aggregation</t>
  </si>
  <si>
    <t>crée un tableau croisé dynamique à partir d’un tableau source</t>
  </si>
  <si>
    <t>UPPER</t>
  </si>
  <si>
    <t xml:space="preserve">MAJUSCULE </t>
  </si>
  <si>
    <t>Converts all letters in a text string to uppercase.</t>
  </si>
  <si>
    <t>Convertit toutes les lettres d’une chaîne de texte en majuscules.</t>
  </si>
  <si>
    <t>LOWER</t>
  </si>
  <si>
    <t xml:space="preserve">MINUSCULE </t>
  </si>
  <si>
    <t>Converts all letters in a text string to lowercase.</t>
  </si>
  <si>
    <t>Convertit toutes les lettres d’une chaîne de texte en minuscules.</t>
  </si>
  <si>
    <t>PROPER</t>
  </si>
  <si>
    <t>NOMPROPRE</t>
  </si>
  <si>
    <t>Capitalizes the first letter of each word in a text string.</t>
  </si>
  <si>
    <t>Met en majuscule la première lettre de chaque mot d’une chaîne de texte.</t>
  </si>
  <si>
    <t xml:space="preserve">SUBSTITUTE </t>
  </si>
  <si>
    <t xml:space="preserve">SUBSTITUE </t>
  </si>
  <si>
    <t>Replaces occurrences of old text with new text in a string.</t>
  </si>
  <si>
    <t>Remplace un ancien texte par un nouveau dans une chaîne de texte.</t>
  </si>
  <si>
    <t>REPLACE</t>
  </si>
  <si>
    <t>REMPLACER</t>
  </si>
  <si>
    <t>Replaces part of a text string based on character position.</t>
  </si>
  <si>
    <t>Remplace une partie d’une chaîne de texte selon la position des caractères.</t>
  </si>
  <si>
    <t xml:space="preserve">TEXTJOIN </t>
  </si>
  <si>
    <t xml:space="preserve">JOINDRE.TEXTE </t>
  </si>
  <si>
    <t>Combines text from multiple ranges, with a delimiter.</t>
  </si>
  <si>
    <t>Combine du texte à partir de plusieurs plages en utilisant un séparateur.</t>
  </si>
  <si>
    <t>CONCAT</t>
  </si>
  <si>
    <t>Joins text from multiple ranges or strings without delimiter options.</t>
  </si>
  <si>
    <t>Concatène du texte à partir de plusieurs plages ou chaînes sans séparateur.</t>
  </si>
  <si>
    <t xml:space="preserve">LEFT </t>
  </si>
  <si>
    <t xml:space="preserve">GAUCHE </t>
  </si>
  <si>
    <t>Returns a specified number of characters from the start of a text string.</t>
  </si>
  <si>
    <t>Renvoie un nombre défini de caractères à partir du début d’une chaîne de texte.</t>
  </si>
  <si>
    <t xml:space="preserve">RIGHT </t>
  </si>
  <si>
    <t xml:space="preserve">DROITE </t>
  </si>
  <si>
    <t>Returns a specified number of characters from the end of a text string.</t>
  </si>
  <si>
    <t>Renvoie un nombre défini de caractères à partir de la fin d’une chaîne de texte.</t>
  </si>
  <si>
    <t xml:space="preserve">MID </t>
  </si>
  <si>
    <t xml:space="preserve"> STXT </t>
  </si>
  <si>
    <t>Returns a specific number of characters from a text string, starting at a given position.</t>
  </si>
  <si>
    <t>Renvoie un nombre spécifique de caractères à partir d’une position donnée.</t>
  </si>
  <si>
    <t xml:space="preserve">TEXTBEFORE </t>
  </si>
  <si>
    <t xml:space="preserve">TEXTE.AVANT </t>
  </si>
  <si>
    <t>Returns text that occurs before a specific character or string.</t>
  </si>
  <si>
    <t>Renvoie le texte situé avant un caractère ou une chaîne spécifique.</t>
  </si>
  <si>
    <t>Returns text that occurs after a specific character or string.</t>
  </si>
  <si>
    <t>Renvoie le texte situé après un caractère ou une chaîne spécifique.</t>
  </si>
  <si>
    <t>TRIM</t>
  </si>
  <si>
    <t>SUPPRESPACE</t>
  </si>
  <si>
    <t>Removes all extra spaces from text, leaving single spaces between words.</t>
  </si>
  <si>
    <t>Supprime les espaces inutiles dans le texte, sauf ceux entre les mots.</t>
  </si>
  <si>
    <t>ISERROR</t>
  </si>
  <si>
    <t>ESTERREUR</t>
  </si>
  <si>
    <t>Returns TRUE if the value is any error.</t>
  </si>
  <si>
    <t>Renvoie VRAI si la valeur est une erreur.</t>
  </si>
  <si>
    <t>SI.NON.DISP</t>
  </si>
  <si>
    <t>Returns a value if the formula returns #N/A, otherwise returns the formula result.</t>
  </si>
  <si>
    <t>Renvoie une valeur si la formule renvoie #N/A, sinon le résultat de la formule.</t>
  </si>
  <si>
    <t>ISBLANK</t>
  </si>
  <si>
    <t>ESTVIDE</t>
  </si>
  <si>
    <t>Returns TRUE if the cell is empty.</t>
  </si>
  <si>
    <t>Renvoie VRAI si la cellule est vide.</t>
  </si>
  <si>
    <t>Returns a value if there is an error, otherwise returns the result of the formula.</t>
  </si>
  <si>
    <t>Renvoie une valeur si erreur, sinon le résultat de la formule.</t>
  </si>
  <si>
    <t>RAND</t>
  </si>
  <si>
    <t>ALEA</t>
  </si>
  <si>
    <t>Returns a random number between 0 and 1.</t>
  </si>
  <si>
    <t>Renvoie un nombre aléatoire entre 0 et 1.</t>
  </si>
  <si>
    <t>ROUNDDOWN</t>
  </si>
  <si>
    <t>ARRONDI.INF</t>
  </si>
  <si>
    <t>Rounds a number down, toward zero.</t>
  </si>
  <si>
    <t>Arrondit un nombre à l’inférieur, vers zéro.</t>
  </si>
  <si>
    <t>ROUNDUP</t>
  </si>
  <si>
    <t>ARRONDI.SUP</t>
  </si>
  <si>
    <t>Rounds a number up, away from zero.</t>
  </si>
  <si>
    <t>Arrondit un nombre à la hausse, à partir de zéro.</t>
  </si>
  <si>
    <t>RANDBETWEEN</t>
  </si>
  <si>
    <t>ALEA.ENTRE.BORNES</t>
  </si>
  <si>
    <t>Returns a random number between two values.</t>
  </si>
  <si>
    <t>Renvoie un nombre aléatoire entre deux valeurs.</t>
  </si>
  <si>
    <t>MROUND</t>
  </si>
  <si>
    <t>ARRONDI.MULTIPLE</t>
  </si>
  <si>
    <t>Rounds a number to the nearest multiple of a specified value.</t>
  </si>
  <si>
    <t>Arrondit un nombre au multiple le plus proche de la valeur spécifiée.</t>
  </si>
  <si>
    <t>ROUND</t>
  </si>
  <si>
    <t>ARRONDI</t>
  </si>
  <si>
    <t>Rounds a number to a specified number of digits.</t>
  </si>
  <si>
    <t>Arrondit un nombre au nombre de chiffres spécifié.</t>
  </si>
  <si>
    <t>TODAY</t>
  </si>
  <si>
    <t>AUJOURDHUI</t>
  </si>
  <si>
    <t>Returns the current date.</t>
  </si>
  <si>
    <t>Renvoie la date actuelle.</t>
  </si>
  <si>
    <t>NOW</t>
  </si>
  <si>
    <t>MAINTENANT</t>
  </si>
  <si>
    <t>Returns the current date and time.</t>
  </si>
  <si>
    <t>Renvoie la date et l’heure actuelles.</t>
  </si>
  <si>
    <t>DATE</t>
  </si>
  <si>
    <t>Returns a date from year, month, and day values.</t>
  </si>
  <si>
    <t>Renvoie une date à partir des valeurs d’année, mois et jour.</t>
  </si>
  <si>
    <t>EOMONTH</t>
  </si>
  <si>
    <t>FIN.MOIS</t>
  </si>
  <si>
    <t>Returns the last day of the month, before or after a specified number of months.</t>
  </si>
  <si>
    <t>Renvoie le dernier jour du mois, avant ou après un nombre de mois donné.</t>
  </si>
  <si>
    <t>DATEDIF</t>
  </si>
  <si>
    <t>Calculates the difference between two dates in various units.</t>
  </si>
  <si>
    <t>Calcule la différence entre deux dates selon différentes unités.</t>
  </si>
  <si>
    <t>YEAR</t>
  </si>
  <si>
    <t>ANNEE</t>
  </si>
  <si>
    <t>Returns the year of a date.</t>
  </si>
  <si>
    <t>Renvoie l’année d’une date.</t>
  </si>
  <si>
    <t>MONTH</t>
  </si>
  <si>
    <t>MOIS</t>
  </si>
  <si>
    <t>Returns the month of a date.</t>
  </si>
  <si>
    <t>Renvoie le mois d’une date.</t>
  </si>
  <si>
    <t>DAY</t>
  </si>
  <si>
    <t>JOUR</t>
  </si>
  <si>
    <t>Returns the day of a date.</t>
  </si>
  <si>
    <t>Renvoie le jour d’une date.</t>
  </si>
  <si>
    <t>WEEKDAY</t>
  </si>
  <si>
    <t>JOURSEM</t>
  </si>
  <si>
    <t>Returns the day of the week (1 = Sunday by default).</t>
  </si>
  <si>
    <t>Renvoie le jour de la semaine (1 = dimanche par défaut).</t>
  </si>
  <si>
    <t>WEEKNUM</t>
  </si>
  <si>
    <t>NO.SEMAINE</t>
  </si>
  <si>
    <t>Returns the week number of a date.</t>
  </si>
  <si>
    <t>Renvoie le numéro de la semaine d’une date.</t>
  </si>
  <si>
    <t>TIME</t>
  </si>
  <si>
    <t>TEMPS</t>
  </si>
  <si>
    <t>Returns a time value from hour, minute, and second.</t>
  </si>
  <si>
    <t>Renvoie une valeur d’heure à partir d’heure, minute et seconde.</t>
  </si>
  <si>
    <t>HOUR</t>
  </si>
  <si>
    <t>HEURE</t>
  </si>
  <si>
    <t>Extracts the hour from a time.</t>
  </si>
  <si>
    <t>Extrait l’heure d’une valeur de temps.</t>
  </si>
  <si>
    <t>MINUTE</t>
  </si>
  <si>
    <t>Extracts the minute from a time.</t>
  </si>
  <si>
    <t>Extrait les minutes d’une valeur de temps.</t>
  </si>
  <si>
    <t>SECOND</t>
  </si>
  <si>
    <t>SECONDE</t>
  </si>
  <si>
    <t>Extracts the second from a time.</t>
  </si>
  <si>
    <t>Extrait les secondes d’une valeur de temps.</t>
  </si>
  <si>
    <t>TEXT</t>
  </si>
  <si>
    <t>TEXTE</t>
  </si>
  <si>
    <t>Converts a number or date to text in a specific format using format codes.</t>
  </si>
  <si>
    <t>Convertit un nombre ou une date en texte dans un format spécifique avec des codes de format.</t>
  </si>
  <si>
    <t>YEARFRAC</t>
  </si>
  <si>
    <t>FRACTION.ANNEE</t>
  </si>
  <si>
    <t>Returns the fraction of the year between two dates.</t>
  </si>
  <si>
    <t>Renvoie la fraction d’année entre deux dates.</t>
  </si>
  <si>
    <t>AND</t>
  </si>
  <si>
    <t>ET</t>
  </si>
  <si>
    <t>Returns TRUE if all conditions are TRUE.</t>
  </si>
  <si>
    <t>Renvoie VRAI si toutes les conditions sont vraies.</t>
  </si>
  <si>
    <t>OR</t>
  </si>
  <si>
    <t>OU</t>
  </si>
  <si>
    <t>Returns TRUE if any condition is TRUE.</t>
  </si>
  <si>
    <t>Renvoie VRAI si au moins une condition est vraie.</t>
  </si>
  <si>
    <t>XOR</t>
  </si>
  <si>
    <t>OUX</t>
  </si>
  <si>
    <t>Returns TRUE if an odd number of conditions are TRUE.</t>
  </si>
  <si>
    <t>Renvoie VRAI si un nombre impair de conditions sont vraies.</t>
  </si>
  <si>
    <t>IF</t>
  </si>
  <si>
    <t>SI</t>
  </si>
  <si>
    <t>Returns one value if a condition is TRUE and another if FALSE.</t>
  </si>
  <si>
    <t>Renvoie une valeur si une condition est vraie, une autre si elle est fausse.</t>
  </si>
  <si>
    <t>INDEX</t>
  </si>
  <si>
    <t>Returns the value of a cell at the intersection of a row and column in a range.</t>
  </si>
  <si>
    <t>Renvoie la valeur d’une cellule à l’intersection d’une ligne et d’une colonne.</t>
  </si>
  <si>
    <t>OFFSET</t>
  </si>
  <si>
    <t>DECALER</t>
  </si>
  <si>
    <t>Returns a reference to a range that is offset from a starting cell by rows and columns.</t>
  </si>
  <si>
    <t>Renvoie une référence à une plage décalée par rapport à une cellule de départ.</t>
  </si>
  <si>
    <t>VLOOKUP</t>
  </si>
  <si>
    <t>RECHERCHEV</t>
  </si>
  <si>
    <t>Searches for a value in the first column of a range and returns a value in the same row.
VLOOKUP( VALUE; SEARCH RANGE; RETURN COLUMN NUMBER; 0/1 )</t>
  </si>
  <si>
    <t>Recherche une valeur dans la première colonne d’une plage et renvoie une autre colonne.
RECHERCHEV( valeur_cherchée ; table_matrice ; no_index_col ; [valeur_proche])</t>
  </si>
  <si>
    <t>HLOOKUP</t>
  </si>
  <si>
    <t>RECHERCHEH</t>
  </si>
  <si>
    <t>Searches for a value in the first row of a range and returns a value in the same column.</t>
  </si>
  <si>
    <t>Recherche une valeur dans la première ligne et renvoie une valeur de la colonne.</t>
  </si>
  <si>
    <t>SUMIF</t>
  </si>
  <si>
    <t>SOMME.SI</t>
  </si>
  <si>
    <t>Adds the values in a range that meet a single condition.</t>
  </si>
  <si>
    <t>Ajoute les valeurs d'une plage qui remplissent une condition</t>
  </si>
  <si>
    <t>COUNTIF</t>
  </si>
  <si>
    <t>NB.SI</t>
  </si>
  <si>
    <t>Counts the number of cells that meet a single condition.</t>
  </si>
  <si>
    <t>Compte les valeurs d'une plage qui remplissent une condition</t>
  </si>
  <si>
    <t>SUMIFS</t>
  </si>
  <si>
    <t>SOMME.SI.ENS</t>
  </si>
  <si>
    <t>Adds the values in a range that meet multiple criteria.</t>
  </si>
  <si>
    <t>Ajoute les valeurs d'une plage qui remplissent plusieurs conditions.</t>
  </si>
  <si>
    <t>COUNTIFS</t>
  </si>
  <si>
    <t>NB.SI.ENS</t>
  </si>
  <si>
    <t>Counts the number of rows that meet multiple conditions.</t>
  </si>
  <si>
    <t>Compte les valeurs d'une plage qui remplissent plusieurs conditions.</t>
  </si>
  <si>
    <t>AVERAGEIF</t>
  </si>
  <si>
    <t>MOYENNE.SI</t>
  </si>
  <si>
    <t>Calculates the average of values in a range that meet a single condition.</t>
  </si>
  <si>
    <t>Calcule la moyenne d'une plage selon une condition</t>
  </si>
  <si>
    <t>UNICHAR</t>
  </si>
  <si>
    <t>UNICAR</t>
  </si>
  <si>
    <t>returns the Unicode character referenced by the given numeric value</t>
  </si>
  <si>
    <t>renvoie le caractère Unicode correspondant à la valeur numérique spécifiée.</t>
  </si>
  <si>
    <t>LEN</t>
  </si>
  <si>
    <t>NBCAR</t>
  </si>
  <si>
    <t>returns the number of characters in a string</t>
  </si>
  <si>
    <t>renvoie le nombre de caractères d'une chaîne de texte</t>
  </si>
  <si>
    <t>SUMPRODUCT</t>
  </si>
  <si>
    <t>SOMMEPROD</t>
  </si>
  <si>
    <t>Returns the sum of the products of corresponding ranges or arrays.</t>
  </si>
  <si>
    <t>Renvoie la somme des produits des plages ou tableaux correspondants.</t>
  </si>
  <si>
    <t>FREQUENCY</t>
  </si>
  <si>
    <t>FREQUENCE</t>
  </si>
  <si>
    <t>calculates how often values occur within a range of values, and then returns a vertical array of numbers.</t>
  </si>
  <si>
    <t>calcule la fréquence d’apparition des valeurs dans une plage de valeurs, puis renvoie des nombres sous forme de matrice verticale</t>
  </si>
  <si>
    <t>RANK.EQ</t>
  </si>
  <si>
    <t>EQUATION.RANG</t>
  </si>
  <si>
    <t>Returns the rank of a number in a list of numbers</t>
  </si>
  <si>
    <t>Renvoie le rang d’un nombre dans une liste de nombres. </t>
  </si>
  <si>
    <t>EXCLURE</t>
  </si>
  <si>
    <t>Excludes a specified number of rows or columns from the start or end of an array. </t>
  </si>
  <si>
    <t>Exclut un nombre spécifié de lignes ou de colonnes du début ou de la fin d’un tableau.</t>
  </si>
  <si>
    <t>PIVOTER.PAR</t>
  </si>
  <si>
    <t>create a summary of your data via a formula
PIVOTBY(row_fields,col_fields,values,function,[field_headers],[row_total_depth],[row_sort_order],[col_total_depth],[col_sort_order],[filter_array],[relative_to])</t>
  </si>
  <si>
    <r>
      <t xml:space="preserve">crée un résumé de vos données via une formule.
</t>
    </r>
    <r>
      <rPr>
        <sz val="12"/>
        <color theme="1"/>
        <rFont val="Calibri"/>
        <family val="2"/>
        <scheme val="minor"/>
      </rPr>
      <t>PIVOTER.PAR(row_fields,col_fields,values,function,[field_headers],[row_total_depth],[row_sort_order],[col_total_depth],[col_sort_order],[filter_array],[relative_to])</t>
    </r>
  </si>
  <si>
    <t>sumproduct</t>
  </si>
  <si>
    <t>The first condition has to be converted from boolean to number thus the *1</t>
  </si>
  <si>
    <t>ENGLISH</t>
  </si>
  <si>
    <r>
      <t>La condition doit être convertie de booléen en nombre d'o</t>
    </r>
    <r>
      <rPr>
        <sz val="11"/>
        <color theme="1"/>
        <rFont val="Aptos Narrow"/>
        <family val="2"/>
      </rPr>
      <t>ù</t>
    </r>
    <r>
      <rPr>
        <sz val="11"/>
        <color theme="1"/>
        <rFont val="Calibri"/>
        <family val="2"/>
        <scheme val="minor"/>
      </rPr>
      <t xml:space="preserve"> le *1</t>
    </r>
  </si>
  <si>
    <t>FRANCAIS</t>
  </si>
  <si>
    <t>Groupe</t>
  </si>
  <si>
    <t>MENU ENG</t>
  </si>
  <si>
    <t>MENU FR</t>
  </si>
  <si>
    <t>Feuille lien</t>
  </si>
  <si>
    <t>Titre page</t>
  </si>
  <si>
    <t>lst_moiscourt</t>
  </si>
  <si>
    <t>lst_moislong</t>
  </si>
  <si>
    <t>lst_monthShort</t>
  </si>
  <si>
    <t>lst_monthlong</t>
  </si>
  <si>
    <t>janv</t>
  </si>
  <si>
    <t>janvier</t>
  </si>
  <si>
    <t>jan</t>
  </si>
  <si>
    <t>january</t>
  </si>
  <si>
    <t>A2</t>
  </si>
  <si>
    <t>Array functions</t>
  </si>
  <si>
    <t>Fonctions matricielles</t>
  </si>
  <si>
    <t>févr</t>
  </si>
  <si>
    <t>février</t>
  </si>
  <si>
    <t>feb</t>
  </si>
  <si>
    <t>february</t>
  </si>
  <si>
    <t>mars</t>
  </si>
  <si>
    <t>mar</t>
  </si>
  <si>
    <t>march</t>
  </si>
  <si>
    <t>avr</t>
  </si>
  <si>
    <t>avril</t>
  </si>
  <si>
    <t>apr</t>
  </si>
  <si>
    <t>april</t>
  </si>
  <si>
    <t>mai</t>
  </si>
  <si>
    <t>may</t>
  </si>
  <si>
    <t>juin</t>
  </si>
  <si>
    <t>jun</t>
  </si>
  <si>
    <t>june</t>
  </si>
  <si>
    <t>juil</t>
  </si>
  <si>
    <t>juillet</t>
  </si>
  <si>
    <t>jul</t>
  </si>
  <si>
    <t>july</t>
  </si>
  <si>
    <t>août</t>
  </si>
  <si>
    <t>aug</t>
  </si>
  <si>
    <t>august</t>
  </si>
  <si>
    <t>sept</t>
  </si>
  <si>
    <t>septembre</t>
  </si>
  <si>
    <t>sep</t>
  </si>
  <si>
    <t>september</t>
  </si>
  <si>
    <t>oct</t>
  </si>
  <si>
    <t>octobre</t>
  </si>
  <si>
    <t>october</t>
  </si>
  <si>
    <t>nov</t>
  </si>
  <si>
    <t>novembre</t>
  </si>
  <si>
    <t>november</t>
  </si>
  <si>
    <t>SORT | SORTBY</t>
  </si>
  <si>
    <t>TRIER | TRIERPAR</t>
  </si>
  <si>
    <t>déc</t>
  </si>
  <si>
    <t>décembre</t>
  </si>
  <si>
    <t>dec</t>
  </si>
  <si>
    <t>december</t>
  </si>
  <si>
    <t>INDEX | XMATCH | OFFSET</t>
  </si>
  <si>
    <t>INDEX | EQUIVX | DECALER</t>
  </si>
  <si>
    <t>Status column</t>
  </si>
  <si>
    <t>FREQUENCY - RANK.EQ</t>
  </si>
  <si>
    <t>FREQUENCE - EQUATION.RANG</t>
  </si>
  <si>
    <t>Active</t>
  </si>
  <si>
    <t>Actif(ve)</t>
  </si>
  <si>
    <t>Maternity leave</t>
  </si>
  <si>
    <t>Congé maternité</t>
  </si>
  <si>
    <t>MATRIX HANDLING</t>
  </si>
  <si>
    <t>MANIPULATION DE MATRICES</t>
  </si>
  <si>
    <t>Pre-retirement</t>
  </si>
  <si>
    <t>Pré-retraite</t>
  </si>
  <si>
    <t>Training</t>
  </si>
  <si>
    <t>Stagiaire</t>
  </si>
  <si>
    <t>Sick Leave</t>
  </si>
  <si>
    <t>Congé maladie</t>
  </si>
  <si>
    <t>Retired</t>
  </si>
  <si>
    <t>Retraité</t>
  </si>
  <si>
    <t>Inactive</t>
  </si>
  <si>
    <t>Inactif(ve)</t>
  </si>
  <si>
    <t>TRADUCTIONS</t>
  </si>
  <si>
    <t>ID</t>
  </si>
  <si>
    <t>Txt ENG</t>
  </si>
  <si>
    <t>Txt FR</t>
  </si>
  <si>
    <t>VAT</t>
  </si>
  <si>
    <t>TVA</t>
  </si>
  <si>
    <t>PRICE</t>
  </si>
  <si>
    <t>PRIX</t>
  </si>
  <si>
    <t>List of prices with tax</t>
  </si>
  <si>
    <t>Liste des prix TTC</t>
  </si>
  <si>
    <t>Sum of rounded prices with tax</t>
  </si>
  <si>
    <t>Somme TTC arrondie</t>
  </si>
  <si>
    <t>Sum of rounded prices with tax using #</t>
  </si>
  <si>
    <t>Somme TTC arrondie avec #</t>
  </si>
  <si>
    <t>Math array formula</t>
  </si>
  <si>
    <t>Arithmétique matricielle</t>
  </si>
  <si>
    <t>Join array formula</t>
  </si>
  <si>
    <t>Jointure matricielle</t>
  </si>
  <si>
    <t>Boolean array formula</t>
  </si>
  <si>
    <t>Logique matricielle</t>
  </si>
  <si>
    <t>Find the min price for month#</t>
  </si>
  <si>
    <t xml:space="preserve">Trouver le prix min pour le mois# </t>
  </si>
  <si>
    <t>Employee cost calculation</t>
  </si>
  <si>
    <t>Calcul du coût d'un employé</t>
  </si>
  <si>
    <t>Net Salary</t>
  </si>
  <si>
    <t>Salaire net</t>
  </si>
  <si>
    <t>charges</t>
  </si>
  <si>
    <t>Charges sociales</t>
  </si>
  <si>
    <t>Pension</t>
  </si>
  <si>
    <t>LPP</t>
  </si>
  <si>
    <t>Admin costs</t>
  </si>
  <si>
    <t>Frais administratifs</t>
  </si>
  <si>
    <t>Total cost company</t>
  </si>
  <si>
    <t>Charge totale employeur</t>
  </si>
  <si>
    <t>Future value calculation</t>
  </si>
  <si>
    <t>Calcul d'une valeur capitalisée</t>
  </si>
  <si>
    <t>Yearly payment</t>
  </si>
  <si>
    <t>Paiement annuel</t>
  </si>
  <si>
    <t>Initital deposit</t>
  </si>
  <si>
    <t>Dépôt intital</t>
  </si>
  <si>
    <t>Portfolio estimation</t>
  </si>
  <si>
    <t>Estimation d'un portfoloio</t>
  </si>
  <si>
    <t>Weight in portfolio</t>
  </si>
  <si>
    <t>Poids dans portfolio</t>
  </si>
  <si>
    <t>Probability of economic situation</t>
  </si>
  <si>
    <t>Probabilité du marché économique</t>
  </si>
  <si>
    <t>Estimated return (stock A)</t>
  </si>
  <si>
    <t>Retour supposé de l'action A</t>
  </si>
  <si>
    <t>Estimated return (stock B)</t>
  </si>
  <si>
    <t>Retour supposé de l'action B</t>
  </si>
  <si>
    <t>Poor</t>
  </si>
  <si>
    <t>Moyen</t>
  </si>
  <si>
    <t>Normal</t>
  </si>
  <si>
    <t>Good</t>
  </si>
  <si>
    <t>Bon</t>
  </si>
  <si>
    <t>Portfolio estimated return</t>
  </si>
  <si>
    <t>Retour espéré du portfolio</t>
  </si>
  <si>
    <t>Year/Interest rate</t>
  </si>
  <si>
    <t>Année/Intérêt</t>
  </si>
  <si>
    <t>Data in columns</t>
  </si>
  <si>
    <t>Données en colonnes</t>
  </si>
  <si>
    <t>First Name</t>
  </si>
  <si>
    <t>Prénom</t>
  </si>
  <si>
    <t>Full Name</t>
  </si>
  <si>
    <t>Nom complet</t>
  </si>
  <si>
    <t>Column</t>
  </si>
  <si>
    <t>Colonne</t>
  </si>
  <si>
    <t>Vertical list</t>
  </si>
  <si>
    <t>Liste verticale</t>
  </si>
  <si>
    <t>Horizontal list</t>
  </si>
  <si>
    <t>Liste horizontale</t>
  </si>
  <si>
    <t>Basic XLOOKUP (to the left)</t>
  </si>
  <si>
    <t>RechercheX basique (vers la gauche)</t>
  </si>
  <si>
    <t>XLOOKUP multiple values</t>
  </si>
  <si>
    <t>RechercheX de plusieurs valeurs</t>
  </si>
  <si>
    <t>XLOOKUP multiple results</t>
  </si>
  <si>
    <t>RechercheX de plusieurs résultats</t>
  </si>
  <si>
    <t>XLOOKUP with wildcard</t>
  </si>
  <si>
    <t>RechercheX avec joker</t>
  </si>
  <si>
    <t>Return</t>
  </si>
  <si>
    <t>Retour souhaité</t>
  </si>
  <si>
    <t>Search Mode</t>
  </si>
  <si>
    <t>Mode de recherche</t>
  </si>
  <si>
    <t>2 way XLOOKUP</t>
  </si>
  <si>
    <t>RECHERCHEX bidirectionelle</t>
  </si>
  <si>
    <t>TOP 3</t>
  </si>
  <si>
    <t>Summing with XLOOKUP</t>
  </si>
  <si>
    <t>Somme avec RECHERCHEX</t>
  </si>
  <si>
    <t>Notice that if the 1st argument of XLOOKUP is a matrix, only one column is returned</t>
  </si>
  <si>
    <t>A noter que si le 1er argument de RechercheX() est une matrice, seule une colonne est retournée</t>
  </si>
  <si>
    <t>Approximate match</t>
  </si>
  <si>
    <t>Recherche approximative</t>
  </si>
  <si>
    <t>Sum of all bonuses for the TOP 3</t>
  </si>
  <si>
    <t>SOMME de tous les bonus pour le Top 3</t>
  </si>
  <si>
    <t>g. TOP 3 with FILTER()</t>
  </si>
  <si>
    <t>g. TOP 3 avec FILTRE()</t>
  </si>
  <si>
    <t>XLOOKUP with 2 lookup values</t>
  </si>
  <si>
    <t>RECHERCHEX avec 2 valeurs de recherche</t>
  </si>
  <si>
    <t>1. Dynamic Array Functions</t>
  </si>
  <si>
    <t>1. Fonctions matricielles</t>
  </si>
  <si>
    <t>2. Lookup and Reference Enhancements</t>
  </si>
  <si>
    <t>2. Améliorations des fonctions de recherche et de référence</t>
  </si>
  <si>
    <t>3. Mathematical and Statistical Functions</t>
  </si>
  <si>
    <t>3. Fonctions mathématiques et statistiques</t>
  </si>
  <si>
    <t>4. AI-Powered and Data Type Functions</t>
  </si>
  <si>
    <t>4. Fonctions basées sur l'IA et les types de données</t>
  </si>
  <si>
    <t>5. Advanced Error Handling</t>
  </si>
  <si>
    <t>5. Gestion avancée des erreurs</t>
  </si>
  <si>
    <t>groupe</t>
  </si>
  <si>
    <t>TEXTJOIN</t>
  </si>
  <si>
    <t>JOINDRE.TEXTE</t>
  </si>
  <si>
    <t>Combines text strings using a delimiter (earlier available in Excel 2016).</t>
  </si>
  <si>
    <t>Combine des chaînes de texte en utilisant un délimiteur (disponible depuis Excel 2016).</t>
  </si>
  <si>
    <t>Advanced replacement for VLOOKUP and HLOOKUP, allowing for flexible lookups.</t>
  </si>
  <si>
    <t>Remplace RECHERCHEV et RECHERCHEH, permet des recherches plus flexibles.</t>
  </si>
  <si>
    <t>REDUIRE</t>
  </si>
  <si>
    <t>PARCOURIR</t>
  </si>
  <si>
    <t>UPPER - LOWER - PROPER</t>
  </si>
  <si>
    <t>MAJUSCULE - MINUSCULE - NOMPROPRE</t>
  </si>
  <si>
    <t>SUBSTITUTE - REPLACE</t>
  </si>
  <si>
    <t>SUBSTITUE - REMPLACER</t>
  </si>
  <si>
    <t>TEXTJOIN - CONCAT</t>
  </si>
  <si>
    <t>JOINDRE.TEXTE - CONCAT</t>
  </si>
  <si>
    <t>LEFT - RIGHT -MID - TEXTBEFORE - TEXTAFTER</t>
  </si>
  <si>
    <t>GAUCHE - DROITE - STXT - TEXTE.AVANT - TEXTE.APRES</t>
  </si>
  <si>
    <t>In order to test a lambda function, type the parameter(s) between brackets in the formula bar.</t>
  </si>
  <si>
    <t>Pour tester une fonction lambda, il suffit d'ajouter le(s) paramètre(s) entre parenthèses dans la barre de formule.</t>
  </si>
  <si>
    <t>a.  LAMBDA() function that creates RC_des_cubes</t>
  </si>
  <si>
    <t>a. Fonction LAMBDA() pour créer RC_des_cubes</t>
  </si>
  <si>
    <t>b. LAMBDA() functions that creates aire_cercle</t>
  </si>
  <si>
    <t>b. Fonction LAMBDA() pour créer aire_cercle</t>
  </si>
  <si>
    <t>Sum of Sales Report Where Sales &gt;250:</t>
  </si>
  <si>
    <t>Sommes des ventes &gt; 250</t>
  </si>
  <si>
    <t>Regional Sales Totals with GROUPBY</t>
  </si>
  <si>
    <t>Totaux des ventes régionales avec GROUPER.PAR</t>
  </si>
  <si>
    <t>LAMBDA version</t>
  </si>
  <si>
    <t>Avec LAMBDA</t>
  </si>
  <si>
    <t>Regional % of Sales Totals</t>
  </si>
  <si>
    <t>% des ventes par région</t>
  </si>
  <si>
    <t>Subtotals, Conditional Formatting</t>
  </si>
  <si>
    <t>Sous-totaux, MFC</t>
  </si>
  <si>
    <t>2 Different Calculations</t>
  </si>
  <si>
    <t>2 calculs différents</t>
  </si>
  <si>
    <t>Old School</t>
  </si>
  <si>
    <t>avant 365</t>
  </si>
  <si>
    <t>Regional Sales Totals with PIVOTBY</t>
  </si>
  <si>
    <t>Totaux régionaux avec PIVOTER.PAR</t>
  </si>
  <si>
    <t>Regional Ave. Sales Report with Calculation Labels</t>
  </si>
  <si>
    <t>Moyennes régionales avec en-têtes</t>
  </si>
  <si>
    <t>LET version</t>
  </si>
  <si>
    <t>Avec LET</t>
  </si>
  <si>
    <t>PIVOTBY Version</t>
  </si>
  <si>
    <t>Avec PIVOTER.PAR</t>
  </si>
  <si>
    <t>GROUPBY AVERAGE</t>
  </si>
  <si>
    <t>GROUPER.PAR + MOYENNE</t>
  </si>
  <si>
    <t>Start Date</t>
  </si>
  <si>
    <t>Date Début</t>
  </si>
  <si>
    <t>End Date</t>
  </si>
  <si>
    <t>Date de fin</t>
  </si>
  <si>
    <t>% of year left</t>
  </si>
  <si>
    <t>% de l'année restant</t>
  </si>
  <si>
    <t>% of year complete</t>
  </si>
  <si>
    <t>% de l'année écoulé</t>
  </si>
  <si>
    <t>Pour tester une fontion lambda, saisir les paramètres entre parenthèses dans la barre de formule</t>
  </si>
  <si>
    <t>Employee</t>
  </si>
  <si>
    <t>Employé</t>
  </si>
  <si>
    <t>Security level</t>
  </si>
  <si>
    <t>Niveau de sécurité</t>
  </si>
  <si>
    <t>Security ranking</t>
  </si>
  <si>
    <t>Rang de sécurité</t>
  </si>
  <si>
    <t>Department</t>
  </si>
  <si>
    <t>Département</t>
  </si>
  <si>
    <t>Region</t>
  </si>
  <si>
    <t>Région</t>
  </si>
  <si>
    <t>Gender</t>
  </si>
  <si>
    <t>Genre</t>
  </si>
  <si>
    <t>Born in</t>
  </si>
  <si>
    <t>Né(e) le</t>
  </si>
  <si>
    <t>Bonus</t>
  </si>
  <si>
    <t>Bonus ranking</t>
  </si>
  <si>
    <t>Rang Bonus</t>
  </si>
  <si>
    <t>Birth years distribution</t>
  </si>
  <si>
    <t>Distribution des années de naissance</t>
  </si>
  <si>
    <t>Bonus distribution</t>
  </si>
  <si>
    <t>Distribution des bonus</t>
  </si>
  <si>
    <t>Products</t>
  </si>
  <si>
    <t>Produits</t>
  </si>
  <si>
    <t>Unit price</t>
  </si>
  <si>
    <t>Prix unitaire</t>
  </si>
  <si>
    <t>cost</t>
  </si>
  <si>
    <t>Coût</t>
  </si>
  <si>
    <t>Last sale</t>
  </si>
  <si>
    <t>Dernière vente</t>
  </si>
  <si>
    <t>Qty</t>
  </si>
  <si>
    <t>Qté</t>
  </si>
  <si>
    <t>Logical tests</t>
  </si>
  <si>
    <t>Tests logiques</t>
  </si>
  <si>
    <t>Average</t>
  </si>
  <si>
    <t>Moyenne</t>
  </si>
  <si>
    <t>Threshold</t>
  </si>
  <si>
    <t>Seuil</t>
  </si>
  <si>
    <t>Sum of positive sales</t>
  </si>
  <si>
    <t>Total quantities with less than 60 units per sale</t>
  </si>
  <si>
    <t>Totaux des ventes inferieures a 60 unites</t>
  </si>
  <si>
    <t>Total quantities 1 &amp; 2 when the value is greater than 60 units per sale</t>
  </si>
  <si>
    <t>Ventes où les qtés 1 et 2 sont supérieures à 60</t>
  </si>
  <si>
    <t>Total quantities 3 &amp; 4 when total for 1 &amp; 2 is greater than 60 units per sale</t>
  </si>
  <si>
    <t>Totaux des qtés 3 et 4 lorsque les qtés 1 et 2 sont supérieures à 60</t>
  </si>
  <si>
    <t>Total nb of orders</t>
  </si>
  <si>
    <t>NB de ventes dans la plage sélectionnée</t>
  </si>
  <si>
    <t>Nb of orders with less than 60 units sold</t>
  </si>
  <si>
    <t>NB de ventes de 60 unités au max</t>
  </si>
  <si>
    <t>Average of totals over 230</t>
  </si>
  <si>
    <t>Moyenne des totaux dépassant 230</t>
  </si>
  <si>
    <t>Number of rows containing  40 in the name and cost &lt; 300</t>
  </si>
  <si>
    <t>Nb de lignes où le nom contient 40 et le coût est &lt; à 300</t>
  </si>
  <si>
    <t>Total number of Geforce cards sold with a unit price  &gt; 500 CHF</t>
  </si>
  <si>
    <t>NB total de cartes Geforce vendues avec un PU &gt; à 500</t>
  </si>
  <si>
    <t>Total NB of Geforce sold with a cost between 300 &amp; 500 CHF</t>
  </si>
  <si>
    <t>NB total de cartes Geforce vendues avec un Coût entre 300 et 500</t>
  </si>
  <si>
    <t>Total sales for products starting with 'Ge'</t>
  </si>
  <si>
    <t>Totaux des ventes pour les produits commençant par 'Ge'</t>
  </si>
  <si>
    <t>Sale</t>
  </si>
  <si>
    <t>Vente</t>
  </si>
  <si>
    <t>Company</t>
  </si>
  <si>
    <t>Société</t>
  </si>
  <si>
    <t>Product</t>
  </si>
  <si>
    <t>Produit</t>
  </si>
  <si>
    <t>SUMPRODUCT WITH CONDITION</t>
  </si>
  <si>
    <t>SOMMEPRODUIT AVEC CONDITION</t>
  </si>
  <si>
    <t>La 1ère condition doit être booléenne d'où le *1</t>
  </si>
  <si>
    <t>FILTER WITH 1 CONDITION</t>
  </si>
  <si>
    <t>FILTRER AVEC 1 CONDITION</t>
  </si>
  <si>
    <t>FILTER WITH 2 CONDITIONS</t>
  </si>
  <si>
    <t>FILTRER AVEC  2 CONDITIONS</t>
  </si>
  <si>
    <t>FILTER AND CHOOSE COLUMNS</t>
  </si>
  <si>
    <t>FILTRER ET CHOISIR LES COLONNES</t>
  </si>
  <si>
    <t>FILTRER DEPUIS UN RESULTAT MATRICIEL</t>
  </si>
  <si>
    <t>NESTED FILTERING</t>
  </si>
  <si>
    <t>FILTRES IMBRIQUES</t>
  </si>
  <si>
    <t>logical test within a formula</t>
  </si>
  <si>
    <t>Test logique dans une formule</t>
  </si>
  <si>
    <t>Don't forget the ( and ) around boolean comparisons !</t>
  </si>
  <si>
    <t>N'oubliez pas les parenthèses autour des comparaisons booléennes</t>
  </si>
  <si>
    <t>Sort a Table on salary ASC</t>
  </si>
  <si>
    <t xml:space="preserve">Tri croissant sur salaire </t>
  </si>
  <si>
    <t>Multi-column sort</t>
  </si>
  <si>
    <t>Tri multi-colonnes</t>
  </si>
  <si>
    <t>Sorting the salary column DESC</t>
  </si>
  <si>
    <t>Tri décroissant sur salaire</t>
  </si>
  <si>
    <t>ROW</t>
  </si>
  <si>
    <t>LIGNE</t>
  </si>
  <si>
    <t>COL</t>
  </si>
  <si>
    <t>COLONNE</t>
  </si>
  <si>
    <t>Who's in row 17 and col 3 ?</t>
  </si>
  <si>
    <t>Qui est en ligne 17 et col 3 ?</t>
  </si>
  <si>
    <t>Which column contains this data ?</t>
  </si>
  <si>
    <t>Quelle colonne contient cette donnée ?</t>
  </si>
  <si>
    <t xml:space="preserve">Show the row number of </t>
  </si>
  <si>
    <t xml:space="preserve">Indiquer le no de ligne de </t>
  </si>
  <si>
    <t>Which category is  Paul Klee in ?</t>
  </si>
  <si>
    <t>Dans quelle catégorie est Paul Klee</t>
  </si>
  <si>
    <t>FIND ALL PEOPLE IN THE SAME CATEGORY AS PAUL KLEE</t>
  </si>
  <si>
    <t>Trouver toutes les personnes dans la même catégorie que Paul Klee</t>
  </si>
  <si>
    <t>VLOOKUP WITH WILDCARD</t>
  </si>
  <si>
    <t>RECHERCHEV avec joker</t>
  </si>
  <si>
    <t>SEARCH WITH INDEX AND MATCH</t>
  </si>
  <si>
    <t>Recherche avec EQUIVX et INDEX</t>
  </si>
  <si>
    <t>HORIZONTAL MATRIX VLOOKUP</t>
  </si>
  <si>
    <t>RECHERCHEV avec résultat matriciel horizontal</t>
  </si>
  <si>
    <t>VERTICAL MATRIX VLOOKUP</t>
  </si>
  <si>
    <t>RECHERCHEV avec résultat matriciel vertical</t>
  </si>
  <si>
    <t>FILTER WITH WILDCARD</t>
  </si>
  <si>
    <t>FILTRER AVEC JOKER</t>
  </si>
  <si>
    <t>Value to look for (in name)</t>
  </si>
  <si>
    <t>Valeur cherchée (nom)</t>
  </si>
  <si>
    <t>within a table</t>
  </si>
  <si>
    <t>dans un tableau</t>
  </si>
  <si>
    <t>Lists</t>
  </si>
  <si>
    <t>'\' may be replaced by ',' in an horizontal list depending on your windows regional settings</t>
  </si>
  <si>
    <t>Shares</t>
  </si>
  <si>
    <t>Price</t>
  </si>
  <si>
    <t>Totals</t>
  </si>
  <si>
    <t>total</t>
  </si>
  <si>
    <t>ARRAY FORMULAS</t>
  </si>
  <si>
    <t>Prod1</t>
  </si>
  <si>
    <t>Prod2</t>
  </si>
  <si>
    <t>Prod3</t>
  </si>
  <si>
    <t>Prod5</t>
  </si>
  <si>
    <t>Trim1</t>
  </si>
  <si>
    <t>Trim2</t>
  </si>
  <si>
    <t>Trim3</t>
  </si>
  <si>
    <t>Trim4</t>
  </si>
  <si>
    <t>Q1</t>
  </si>
  <si>
    <t>Q2</t>
  </si>
  <si>
    <t>Q3</t>
  </si>
  <si>
    <t>Q4</t>
  </si>
  <si>
    <t>Ludovic Moreau</t>
  </si>
  <si>
    <t>Functions in Excel 365</t>
  </si>
  <si>
    <t>moreau@artofnet.ch</t>
  </si>
  <si>
    <t>Excel functions (alphabetical)</t>
  </si>
  <si>
    <t>Fonctions Excel (alphabétiques)</t>
  </si>
  <si>
    <t>Cost &gt;</t>
  </si>
  <si>
    <t>SUM &gt;</t>
  </si>
  <si>
    <t>AND Cost &lt;</t>
  </si>
  <si>
    <t>OR Cost &lt;</t>
  </si>
  <si>
    <t>SSD 500 GB</t>
  </si>
  <si>
    <t>SSD 1 TB</t>
  </si>
  <si>
    <t>SSD 2 TB</t>
  </si>
  <si>
    <t>HDD 2 TB</t>
  </si>
  <si>
    <t>HDD 4TB</t>
  </si>
  <si>
    <t>HDD 8 TB</t>
  </si>
  <si>
    <t>r</t>
  </si>
  <si>
    <t>Année</t>
  </si>
  <si>
    <t>Total</t>
  </si>
  <si>
    <t>Stevie Bridge</t>
  </si>
  <si>
    <t>Paul Wells</t>
  </si>
  <si>
    <t>Ewan Thompson</t>
  </si>
  <si>
    <t>Walter Miller</t>
  </si>
  <si>
    <t>Peter Ramsy</t>
  </si>
  <si>
    <t>Wolfgang Ramjac</t>
  </si>
  <si>
    <t>Brigitte Bond</t>
  </si>
  <si>
    <t>Maria Tot</t>
  </si>
  <si>
    <t>Natalie Porter</t>
  </si>
  <si>
    <t>Andre Cooper</t>
  </si>
  <si>
    <t>Ann Withers</t>
  </si>
  <si>
    <t>Corinna Schmidt</t>
  </si>
  <si>
    <t>Mike Saban</t>
  </si>
  <si>
    <t>Gary Miller</t>
  </si>
  <si>
    <t>HDD1</t>
  </si>
  <si>
    <t>HDD2</t>
  </si>
  <si>
    <t>HDD9</t>
  </si>
  <si>
    <t>Ecran2</t>
  </si>
  <si>
    <t>Clavier1</t>
  </si>
  <si>
    <t>Clavier2</t>
  </si>
  <si>
    <t>Ecran1</t>
  </si>
  <si>
    <t>Ecran3</t>
  </si>
  <si>
    <t>Clavier3</t>
  </si>
  <si>
    <t>Salary</t>
  </si>
  <si>
    <t>City</t>
  </si>
  <si>
    <t>Status</t>
  </si>
  <si>
    <t>finance</t>
  </si>
  <si>
    <t>Finance</t>
  </si>
  <si>
    <t>Camille Dubois</t>
  </si>
  <si>
    <t>F</t>
  </si>
  <si>
    <t>Zurich</t>
  </si>
  <si>
    <t>*</t>
  </si>
  <si>
    <t>Marketing</t>
  </si>
  <si>
    <t>Lucas Martin</t>
  </si>
  <si>
    <t>M</t>
  </si>
  <si>
    <t>Geneva</t>
  </si>
  <si>
    <t>+</t>
  </si>
  <si>
    <t>Sales</t>
  </si>
  <si>
    <t>Manon Lambert</t>
  </si>
  <si>
    <t>Berne</t>
  </si>
  <si>
    <t>Hugo Dupont</t>
  </si>
  <si>
    <t>Emma Garcia</t>
  </si>
  <si>
    <t>Louis Chevalier</t>
  </si>
  <si>
    <t>Léa Rousseau</t>
  </si>
  <si>
    <t>ND</t>
  </si>
  <si>
    <t>Nathan Leroy</t>
  </si>
  <si>
    <t>Chloé Lefebvre</t>
  </si>
  <si>
    <t>Enzo Moreau</t>
  </si>
  <si>
    <t>Clara Mercier</t>
  </si>
  <si>
    <t>Théo Laurent</t>
  </si>
  <si>
    <t>Zoé Girard</t>
  </si>
  <si>
    <t>Gabriel Petit</t>
  </si>
  <si>
    <t>Jade Simon</t>
  </si>
  <si>
    <t>Maxime Robin</t>
  </si>
  <si>
    <t>Lausanne</t>
  </si>
  <si>
    <t>Sarah Thomas</t>
  </si>
  <si>
    <t>Mathis Leroux</t>
  </si>
  <si>
    <t>Inès Martinez</t>
  </si>
  <si>
    <t>Ethan Gauthier</t>
  </si>
  <si>
    <t>ma</t>
  </si>
  <si>
    <t>Emma Gauthier</t>
  </si>
  <si>
    <t>Ventes</t>
  </si>
  <si>
    <t>Cat</t>
  </si>
  <si>
    <t>Nom</t>
  </si>
  <si>
    <t>Sports</t>
  </si>
  <si>
    <t>Didier Cuche</t>
  </si>
  <si>
    <t>Politique</t>
  </si>
  <si>
    <t>Pascal Couchepin</t>
  </si>
  <si>
    <t>Business/Innovation</t>
  </si>
  <si>
    <t>Hansjörg Wyss</t>
  </si>
  <si>
    <t>Science</t>
  </si>
  <si>
    <t>Bertrand Piccard</t>
  </si>
  <si>
    <t>Ueli Maurer</t>
  </si>
  <si>
    <t>Henri Nestlé</t>
  </si>
  <si>
    <t>Histoire</t>
  </si>
  <si>
    <t>Carl Jung</t>
  </si>
  <si>
    <t>Jean-Jacques Rousseau</t>
  </si>
  <si>
    <t>Ignazio Cassis</t>
  </si>
  <si>
    <t>Ernesto Bertarelli</t>
  </si>
  <si>
    <t>Jean-Pascal Delamuraz</t>
  </si>
  <si>
    <t>Paul Klee</t>
  </si>
  <si>
    <t>Roger Federer</t>
  </si>
  <si>
    <t>Henry Dunant</t>
  </si>
  <si>
    <t>Auteur / Artiste</t>
  </si>
  <si>
    <t>Johanna Spyri</t>
  </si>
  <si>
    <t>Guy Parmelin</t>
  </si>
  <si>
    <t>Nicolas Hayek</t>
  </si>
  <si>
    <t>William Tell</t>
  </si>
  <si>
    <t>Alberto Giacometti</t>
  </si>
  <si>
    <t>Martina Hingis</t>
  </si>
  <si>
    <t>Daniel Borel</t>
  </si>
  <si>
    <t>Simonetta Sommaruga</t>
  </si>
  <si>
    <t>Auguste Piccard</t>
  </si>
  <si>
    <t>Leonhard Euler</t>
  </si>
  <si>
    <t>Lara Gut-Behrami</t>
  </si>
  <si>
    <t>Micheline Calmy-Rey</t>
  </si>
  <si>
    <t>Albert Einstein</t>
  </si>
  <si>
    <t>Stan Wawrinka</t>
  </si>
  <si>
    <t>Hermann Hesse</t>
  </si>
  <si>
    <t>Friedrich Dürrenmatt</t>
  </si>
  <si>
    <t>Name</t>
  </si>
  <si>
    <t>Solde vacances</t>
  </si>
  <si>
    <t>James Willard</t>
  </si>
  <si>
    <t>ID18</t>
  </si>
  <si>
    <t>Bern</t>
  </si>
  <si>
    <t>Robert Spear</t>
  </si>
  <si>
    <t>ID8</t>
  </si>
  <si>
    <t>Dan</t>
  </si>
  <si>
    <t>Paul Garza</t>
  </si>
  <si>
    <t>ID24</t>
  </si>
  <si>
    <t>Robert Marquez</t>
  </si>
  <si>
    <t>ID23</t>
  </si>
  <si>
    <t>Kim Montreux</t>
  </si>
  <si>
    <t>ID13</t>
  </si>
  <si>
    <t>ID7</t>
  </si>
  <si>
    <t>ID19</t>
  </si>
  <si>
    <t>ID22</t>
  </si>
  <si>
    <t>ID5</t>
  </si>
  <si>
    <t>ID9</t>
  </si>
  <si>
    <t>ID17</t>
  </si>
  <si>
    <t>ID10</t>
  </si>
  <si>
    <t>ID21</t>
  </si>
  <si>
    <t>ID3</t>
  </si>
  <si>
    <t>Procurement</t>
  </si>
  <si>
    <t>Biel</t>
  </si>
  <si>
    <t>ID29</t>
  </si>
  <si>
    <t>Robert Musser</t>
  </si>
  <si>
    <t>ID30</t>
  </si>
  <si>
    <t>ID14</t>
  </si>
  <si>
    <t>ID16</t>
  </si>
  <si>
    <t>ID27</t>
  </si>
  <si>
    <t>ID4</t>
  </si>
  <si>
    <t>Richard Elliot</t>
  </si>
  <si>
    <t>ID12</t>
  </si>
  <si>
    <t>Roger Mun</t>
  </si>
  <si>
    <t>ID20</t>
  </si>
  <si>
    <t>Daniel Garrett</t>
  </si>
  <si>
    <t>ID28</t>
  </si>
  <si>
    <t>Paul Hill</t>
  </si>
  <si>
    <t>ID25</t>
  </si>
  <si>
    <t>Crystal Doyle</t>
  </si>
  <si>
    <t>ID1</t>
  </si>
  <si>
    <t>Betina Bauer</t>
  </si>
  <si>
    <t>ID15</t>
  </si>
  <si>
    <t>Daniela Schreiber</t>
  </si>
  <si>
    <t>ID2</t>
  </si>
  <si>
    <t>Dan Ziegler</t>
  </si>
  <si>
    <t>ID11</t>
  </si>
  <si>
    <t>Robert Richardson</t>
  </si>
  <si>
    <t>ID26</t>
  </si>
  <si>
    <t>Robert Blume</t>
  </si>
  <si>
    <t>ID6</t>
  </si>
  <si>
    <t>Lukas Hofer</t>
  </si>
  <si>
    <t>ID31</t>
  </si>
  <si>
    <t>Corina Doyle</t>
  </si>
  <si>
    <t>Bonus %</t>
  </si>
  <si>
    <t>Georges-André Chevallaz</t>
  </si>
  <si>
    <t>Kurt Furgler</t>
  </si>
  <si>
    <t>Fritz Honegger</t>
  </si>
  <si>
    <t>Pierre Aubert</t>
  </si>
  <si>
    <t>Leon Schlumpf</t>
  </si>
  <si>
    <t>Alphons Egli</t>
  </si>
  <si>
    <t>Otto Stich</t>
  </si>
  <si>
    <t>Elisabeth Kopp</t>
  </si>
  <si>
    <t>Arnold Koller</t>
  </si>
  <si>
    <t>Flavio Cotti</t>
  </si>
  <si>
    <t>René Felber</t>
  </si>
  <si>
    <t>Adolf Ogi</t>
  </si>
  <si>
    <t>Kaspar Villiger</t>
  </si>
  <si>
    <t>Ruth Dreifuss</t>
  </si>
  <si>
    <t>Moritz Leuenberger</t>
  </si>
  <si>
    <t>Joseph Deiss</t>
  </si>
  <si>
    <t>Samuel Schmid</t>
  </si>
  <si>
    <t>Hans-Rudolf Merz</t>
  </si>
  <si>
    <t>Doris Leuthard</t>
  </si>
  <si>
    <t>Eveline Widmer-Schlumpf</t>
  </si>
  <si>
    <t>Didier Burkhalter</t>
  </si>
  <si>
    <t>Johann Schneider-Ammann</t>
  </si>
  <si>
    <t>Alain Berset</t>
  </si>
  <si>
    <t>Viola Amherd</t>
  </si>
  <si>
    <t>Extra bonus scheme</t>
  </si>
  <si>
    <t>tbl_Presidents</t>
  </si>
  <si>
    <t>Année / Year</t>
  </si>
  <si>
    <t>Nom / Name</t>
  </si>
  <si>
    <t>Base</t>
  </si>
  <si>
    <t>Base+Bonus</t>
  </si>
  <si>
    <t xml:space="preserve">Extra Bonus </t>
  </si>
  <si>
    <t>*Ogi</t>
  </si>
  <si>
    <t>Matrix</t>
  </si>
  <si>
    <t>&lt; 1970 (incl.)</t>
  </si>
  <si>
    <t>&gt; 2010</t>
  </si>
  <si>
    <t>Crystal Stucki</t>
  </si>
  <si>
    <t>Betina Klum</t>
  </si>
  <si>
    <t>Robert Patrick</t>
  </si>
  <si>
    <t>Lukas Arni</t>
  </si>
  <si>
    <t>Evelyne Schreiber</t>
  </si>
  <si>
    <t>Robert Pattison</t>
  </si>
  <si>
    <t>Peter Smith</t>
  </si>
  <si>
    <t>client</t>
  </si>
  <si>
    <t>Actual</t>
  </si>
  <si>
    <t>Extras</t>
  </si>
  <si>
    <t>▲</t>
  </si>
  <si>
    <t>client4</t>
  </si>
  <si>
    <t>▼</t>
  </si>
  <si>
    <t>client10</t>
  </si>
  <si>
    <t>client3</t>
  </si>
  <si>
    <t>client6</t>
  </si>
  <si>
    <t>client9</t>
  </si>
  <si>
    <t>BRONZE</t>
  </si>
  <si>
    <t>1</t>
  </si>
  <si>
    <t>United States</t>
  </si>
  <si>
    <t>2</t>
  </si>
  <si>
    <t>China</t>
  </si>
  <si>
    <t>3</t>
  </si>
  <si>
    <t>4</t>
  </si>
  <si>
    <t>Great Britain</t>
  </si>
  <si>
    <t>5</t>
  </si>
  <si>
    <t>ROC</t>
  </si>
  <si>
    <t>6</t>
  </si>
  <si>
    <t>Australia</t>
  </si>
  <si>
    <t>7</t>
  </si>
  <si>
    <t>Netherlands</t>
  </si>
  <si>
    <t>8</t>
  </si>
  <si>
    <t>France</t>
  </si>
  <si>
    <t>9</t>
  </si>
  <si>
    <t>Germany</t>
  </si>
  <si>
    <t>10</t>
  </si>
  <si>
    <t>Italy</t>
  </si>
  <si>
    <t>11–93</t>
  </si>
  <si>
    <t>others</t>
  </si>
  <si>
    <t>Totals (93 valeurs)</t>
  </si>
  <si>
    <t>a</t>
  </si>
  <si>
    <t>b</t>
  </si>
  <si>
    <t xml:space="preserve">=aire_cercle(r) </t>
  </si>
  <si>
    <t>Prod</t>
  </si>
  <si>
    <t>Prix/Price</t>
  </si>
  <si>
    <t>TOTAL(BYROW)</t>
  </si>
  <si>
    <t>RUNNING TOTAL</t>
  </si>
  <si>
    <t>TOTAL 44-&gt;50</t>
  </si>
  <si>
    <t>FORECAST.LINEAR</t>
  </si>
  <si>
    <t>TREND</t>
  </si>
  <si>
    <t>Ratio (LET 2 vars)</t>
  </si>
  <si>
    <t>Budget</t>
  </si>
  <si>
    <t>&gt;10%</t>
  </si>
  <si>
    <t>&gt;10% (Let 1 var)</t>
  </si>
  <si>
    <r>
      <rPr>
        <sz val="14"/>
        <color theme="5" tint="-0.249977111117893"/>
        <rFont val="Arial"/>
        <family val="2"/>
      </rPr>
      <t>Δ</t>
    </r>
    <r>
      <rPr>
        <sz val="14"/>
        <color theme="5" tint="-0.249977111117893"/>
        <rFont val="Calibri"/>
        <family val="2"/>
      </rPr>
      <t xml:space="preserve"> AVG</t>
    </r>
  </si>
  <si>
    <t>Japan</t>
  </si>
  <si>
    <t>Δ GLOBAL AVG</t>
  </si>
  <si>
    <t xml:space="preserve">V/HLOOKUP </t>
  </si>
  <si>
    <t>RECHERCHEV/H</t>
  </si>
  <si>
    <t>IF-AND-OR-XOR</t>
  </si>
  <si>
    <t>SI-ET-OU-OUX</t>
  </si>
  <si>
    <t>logicfct</t>
  </si>
  <si>
    <t xml:space="preserve">Go to </t>
  </si>
  <si>
    <t xml:space="preserve">Allez à </t>
  </si>
  <si>
    <t>STDDEV.S</t>
  </si>
  <si>
    <t>L’écart-type mesure la dispersion des données autour de la moyenne.</t>
  </si>
  <si>
    <t>Standard deviation measures how much the values in a dataset vary (spread out) from the average (mean).</t>
  </si>
  <si>
    <t>ECARTYPE.STANDARD.S</t>
  </si>
  <si>
    <t>TENDANCE</t>
  </si>
  <si>
    <t>It uses the least squares method to calculate a straight line that best fits your known data points.
It can predict future values or fill missing values in a series.
=TREND(known_y's,[known_x's],[new_x's],[const])</t>
  </si>
  <si>
    <t>utilise la méthode des moindres carrés pour ajuster une droite aux données.
Elle permet de prévoir des valeurs futures ou compléter une série.
=TENDANCE(y_connus ; [x_connus] ; [nouveaux_x] ; [const])</t>
  </si>
  <si>
    <t>PREVISION.LINEAIRE</t>
  </si>
  <si>
    <t>Elle calcule une valeur y pour un x donné, à partir de données existantes.
Elle utilise une régression linéaire (méthode des moindres carrés).
=PREVISION.LINEAIRE(x ; y_connus ; x_connus)</t>
  </si>
  <si>
    <t>It estimates a value for a given x based on known x and y values.
It uses linear regression (least squares method), just like TREND.
=FORECAST.LINEAR(x,known_y's,known_x's)</t>
  </si>
  <si>
    <t>lambdafct</t>
  </si>
  <si>
    <t>letfct</t>
  </si>
  <si>
    <t>tablemanip</t>
  </si>
  <si>
    <t>freqfct</t>
  </si>
  <si>
    <t>xlookupfct</t>
  </si>
  <si>
    <t>hlookupfct</t>
  </si>
  <si>
    <t>vlookupfct</t>
  </si>
  <si>
    <t>indexfct</t>
  </si>
  <si>
    <t>sortfct</t>
  </si>
  <si>
    <t>filterfct</t>
  </si>
  <si>
    <t>arrayfct</t>
  </si>
  <si>
    <t>Cond1</t>
  </si>
  <si>
    <t>Cond2</t>
  </si>
  <si>
    <t xml:space="preserve"> 1*1=1</t>
  </si>
  <si>
    <t>1*0=0</t>
  </si>
  <si>
    <t>0*0=0</t>
  </si>
  <si>
    <t>0*1=0</t>
  </si>
  <si>
    <t xml:space="preserve"> 1+1=1</t>
  </si>
  <si>
    <t>1+0=0</t>
  </si>
  <si>
    <t>0+0=0</t>
  </si>
  <si>
    <t>0+1=0</t>
  </si>
  <si>
    <t xml:space="preserve">Write 'Yes' in column L if the cost is between 100 and 200 </t>
  </si>
  <si>
    <t>Write 'Yes' in column O if the total sale is greater than 300 AND the cost is less than 100</t>
  </si>
  <si>
    <t>Write a formula that displays true if the name of the product on the matching row starts with S (false otherwise)</t>
  </si>
  <si>
    <t>Écrivez « Oui » dans la colonne L si le coût est compris entre 100 et 200</t>
  </si>
  <si>
    <t>Écrivez « Oui » dans la colonne O si la vente totale dépasse 300 ET si le coût est inférieur à 100</t>
  </si>
  <si>
    <t>Écrivez une formule qui affiche true si le nom du produit sur la ligne correspondante commence par S (faux sinon)</t>
  </si>
  <si>
    <t>Write 'Yes' in column U if the unit price is less than 200 OR the cost is less than 100</t>
  </si>
  <si>
    <t>same question using XOR</t>
  </si>
  <si>
    <t>Check multiple conditions using the IFS function:
Write 'Starts with S' if the name does start with an 'S'. 
Write 'Price over 200' if value in C is greater then 200.
Write 'cost less than 100' if the value in D is less than 100.
Write 'No result' if no conditions were met before.</t>
  </si>
  <si>
    <t>Écrivez « Oui » dans la colonne U si le prix unitaire est inférieur à 200 OU si le coût est inférieur à 100</t>
  </si>
  <si>
    <t>Même question avec XOR</t>
  </si>
  <si>
    <t>Vérifiez plusieurs conditions à l’aide de la fonction SI.CONDITIONS : 
Écrivez « Commence par S » si le nom commence par un « S ». 
Écrivez « Prix au-dessus de 200 » si la valeur en C est supérieure à 200.
Écrire « coût inférieur à 100 » si la valeur en D est inférieure à 100. 
Écrivez « Aucun résultat » si aucune condition n’a été remplie auparavant.</t>
  </si>
  <si>
    <t>Max-Min</t>
  </si>
  <si>
    <t>TOTAL</t>
  </si>
  <si>
    <t>Between 1971 and 1980</t>
  </si>
  <si>
    <t>Between 1981 and 1990</t>
  </si>
  <si>
    <t>Between 1991 and 2000</t>
  </si>
  <si>
    <t>Between 2001 and 2010</t>
  </si>
  <si>
    <t>Rank</t>
  </si>
  <si>
    <t>Country</t>
  </si>
  <si>
    <t>GOLD</t>
  </si>
  <si>
    <t>SILVER</t>
  </si>
  <si>
    <t>SQRTOfCubes</t>
  </si>
  <si>
    <t>CalcAreaCircle</t>
  </si>
  <si>
    <t>CalcAreaCircle = LAMBDA(r;PI()*r^2)</t>
  </si>
  <si>
    <t>FILTER FROM ARRAY FORMULA RESULT</t>
  </si>
  <si>
    <t>SORT(array, [sort_index], [sort_order], [by_col])</t>
  </si>
  <si>
    <t>SORTBY(array, by_array1, [sort_order1], ...)</t>
  </si>
  <si>
    <t>C. Combine FILTER and SORT</t>
  </si>
  <si>
    <t>A. Bonus</t>
  </si>
  <si>
    <t>B. Nom</t>
  </si>
  <si>
    <t>Extra Bonus Range</t>
  </si>
  <si>
    <t>C. Birth years distribution</t>
  </si>
  <si>
    <t>D. Bonus distribution</t>
  </si>
  <si>
    <t>SQRTOfCubes =LAMBDA(a;b;ROUNDUP(SQRT(a^3+b^3);0))</t>
  </si>
  <si>
    <t>=LAMBDA(parameter1, parameter2, ..., calculation)</t>
  </si>
  <si>
    <t>=LET(Name_var1;value1;Calculation)</t>
  </si>
  <si>
    <t>=RANK.EQ(number, ref, [order])</t>
  </si>
  <si>
    <t>=FREQUENCE(Tableau_données ; Matrice_classes)</t>
  </si>
  <si>
    <t>=XLOOKUP(lookup_value, lookup_array, return_array, [if_not_found], [match_mode], [search_mode])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</si>
</sst>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0\ &quot;CHF&quot;;[Red]\-#,##0\ &quot;CHF&quot;"/>
    <numFmt numFmtId="8" formatCode="#,##0.00\ &quot;CHF&quot;;[Red]\-#,##0.00\ &quot;CHF&quot;"/>
    <numFmt numFmtId="44" formatCode="_-* #,##0.00\ &quot;CHF&quot;_-;\-* #,##0.00\ &quot;CHF&quot;_-;_-* &quot;-&quot;??\ &quot;CHF&quot;_-;_-@_-"/>
    <numFmt numFmtId="164" formatCode="_(* #,##0.00_);_(* \(#,##0.00\);_(* &quot;-&quot;??_);_(@_)"/>
    <numFmt numFmtId="165" formatCode="_-* #,##0\ &quot;CHF&quot;_-;\-* #,##0\ &quot;CHF&quot;_-;_-* &quot;-&quot;??\ &quot;CHF&quot;_-;_-@_-"/>
    <numFmt numFmtId="166" formatCode="_-* #,##0\ [$CHF-100C]_-;\-* #,##0\ [$CHF-100C]_-;_-* &quot;-&quot;??\ [$CHF-100C]_-;_-@_-"/>
    <numFmt numFmtId="167" formatCode="_-[$$-409]* #,##0_ ;_-[$$-409]* \-#,##0\ ;_-[$$-409]* &quot;-&quot;??_ ;_-@_ "/>
    <numFmt numFmtId="168" formatCode="0.0%"/>
    <numFmt numFmtId="169" formatCode="0.0000"/>
    <numFmt numFmtId="170" formatCode="_-* #,##0.00\ [$CHF-100C]_-;\-* #,##0.00\ [$CHF-100C]_-;_-* &quot;-&quot;??\ [$CHF-100C]_-;_-@_-"/>
    <numFmt numFmtId="171" formatCode="0000"/>
    <numFmt numFmtId="172" formatCode=";;"/>
    <numFmt numFmtId="173" formatCode="0.000%"/>
  </numFmts>
  <fonts count="67">
    <font>
      <sz val="11"/>
      <color theme="1"/>
      <name val="Calibri"/>
      <family val="2"/>
      <scheme val="minor"/>
    </font>
    <font>
      <b/>
      <sz val="11"/>
      <color theme="1"/>
      <name val="Calibri"/>
      <family val="2"/>
      <scheme val="minor"/>
    </font>
    <font>
      <sz val="8"/>
      <name val="Calibri"/>
      <family val="2"/>
      <scheme val="minor"/>
    </font>
    <font>
      <b/>
      <sz val="12"/>
      <color theme="0"/>
      <name val="Calibri"/>
      <family val="2"/>
      <scheme val="minor"/>
    </font>
    <font>
      <b/>
      <sz val="14"/>
      <color theme="1"/>
      <name val="Calibri"/>
      <family val="2"/>
      <scheme val="minor"/>
    </font>
    <font>
      <b/>
      <i/>
      <sz val="12"/>
      <color theme="1"/>
      <name val="Calibri"/>
      <family val="2"/>
      <scheme val="minor"/>
    </font>
    <font>
      <sz val="11"/>
      <color theme="1"/>
      <name val="Calibri"/>
      <family val="2"/>
      <scheme val="minor"/>
    </font>
    <font>
      <b/>
      <sz val="12"/>
      <color theme="1"/>
      <name val="Calibri"/>
      <family val="2"/>
      <scheme val="minor"/>
    </font>
    <font>
      <sz val="14"/>
      <color theme="1"/>
      <name val="Calibri"/>
      <family val="2"/>
      <scheme val="minor"/>
    </font>
    <font>
      <sz val="20"/>
      <color theme="1"/>
      <name val="Calibri"/>
      <family val="2"/>
      <scheme val="minor"/>
    </font>
    <font>
      <sz val="11"/>
      <color theme="0"/>
      <name val="Calibri"/>
      <family val="2"/>
      <scheme val="minor"/>
    </font>
    <font>
      <b/>
      <sz val="14"/>
      <color theme="9" tint="-0.249977111117893"/>
      <name val="Calibri"/>
      <family val="2"/>
      <scheme val="minor"/>
    </font>
    <font>
      <b/>
      <sz val="14"/>
      <color theme="0"/>
      <name val="Calibri"/>
      <family val="2"/>
      <scheme val="minor"/>
    </font>
    <font>
      <sz val="16"/>
      <color theme="1"/>
      <name val="Calibri"/>
      <family val="2"/>
      <scheme val="minor"/>
    </font>
    <font>
      <sz val="18"/>
      <color theme="0"/>
      <name val="Calibri"/>
      <family val="2"/>
      <scheme val="minor"/>
    </font>
    <font>
      <sz val="18"/>
      <color theme="1"/>
      <name val="Calibri"/>
      <family val="2"/>
      <scheme val="minor"/>
    </font>
    <font>
      <u/>
      <sz val="20"/>
      <color theme="0"/>
      <name val="Aptos Black"/>
      <family val="2"/>
    </font>
    <font>
      <b/>
      <sz val="11"/>
      <color theme="0"/>
      <name val="Calibri"/>
      <family val="2"/>
      <scheme val="minor"/>
    </font>
    <font>
      <u/>
      <sz val="11"/>
      <color theme="10"/>
      <name val="Calibri"/>
      <family val="2"/>
      <scheme val="minor"/>
    </font>
    <font>
      <sz val="9"/>
      <color theme="1"/>
      <name val="Calibri"/>
      <family val="2"/>
      <scheme val="minor"/>
    </font>
    <font>
      <sz val="11"/>
      <color theme="8" tint="-0.249977111117893"/>
      <name val="Calibri"/>
      <family val="2"/>
      <scheme val="minor"/>
    </font>
    <font>
      <sz val="12"/>
      <color theme="1"/>
      <name val="Calibri"/>
      <family val="2"/>
      <scheme val="minor"/>
    </font>
    <font>
      <sz val="11"/>
      <color rgb="FFFF0000"/>
      <name val="Calibri"/>
      <family val="2"/>
      <scheme val="minor"/>
    </font>
    <font>
      <sz val="11"/>
      <color theme="1"/>
      <name val="Arial"/>
      <family val="2"/>
    </font>
    <font>
      <sz val="11"/>
      <color theme="9"/>
      <name val="Arial"/>
      <family val="2"/>
    </font>
    <font>
      <sz val="10"/>
      <name val="Arial"/>
      <family val="2"/>
    </font>
    <font>
      <b/>
      <sz val="11"/>
      <color theme="1"/>
      <name val="Wingdings 3"/>
      <family val="1"/>
      <charset val="2"/>
    </font>
    <font>
      <sz val="14"/>
      <name val="Calibri"/>
      <family val="2"/>
      <scheme val="minor"/>
    </font>
    <font>
      <sz val="11"/>
      <color theme="1"/>
      <name val="Aptos Narrow"/>
      <family val="2"/>
    </font>
    <font>
      <sz val="48"/>
      <color theme="1"/>
      <name val="Calibri"/>
      <family val="2"/>
      <scheme val="minor"/>
    </font>
    <font>
      <b/>
      <i/>
      <sz val="14"/>
      <color theme="9" tint="-0.249977111117893"/>
      <name val="Calibri"/>
      <family val="2"/>
      <scheme val="minor"/>
    </font>
    <font>
      <sz val="26"/>
      <color theme="9" tint="-0.249977111117893"/>
      <name val="Calibri"/>
      <family val="2"/>
      <scheme val="minor"/>
    </font>
    <font>
      <b/>
      <i/>
      <sz val="14"/>
      <color theme="1"/>
      <name val="Calibri"/>
      <family val="2"/>
      <scheme val="minor"/>
    </font>
    <font>
      <i/>
      <sz val="12"/>
      <color theme="1"/>
      <name val="Calibri"/>
      <family val="2"/>
      <scheme val="minor"/>
    </font>
    <font>
      <b/>
      <i/>
      <sz val="11"/>
      <color theme="1"/>
      <name val="Calibri"/>
      <family val="2"/>
      <scheme val="minor"/>
    </font>
    <font>
      <b/>
      <sz val="14"/>
      <color theme="4" tint="-0.249977111117893"/>
      <name val="Calibri"/>
      <family val="2"/>
      <scheme val="minor"/>
    </font>
    <font>
      <b/>
      <sz val="14"/>
      <color theme="4" tint="-0.24994659260841701"/>
      <name val="Calibri"/>
      <family val="2"/>
      <scheme val="minor"/>
    </font>
    <font>
      <sz val="16"/>
      <name val="Calibri"/>
      <family val="2"/>
      <scheme val="minor"/>
    </font>
    <font>
      <b/>
      <sz val="14"/>
      <color rgb="FF3F3F76"/>
      <name val="Calibri"/>
      <family val="2"/>
      <scheme val="minor"/>
    </font>
    <font>
      <b/>
      <sz val="14"/>
      <color theme="1" tint="0.39997558519241921"/>
      <name val="Calibri"/>
      <family val="2"/>
      <scheme val="minor"/>
    </font>
    <font>
      <sz val="14"/>
      <color theme="5" tint="-0.249977111117893"/>
      <name val="Calibri"/>
      <family val="2"/>
      <scheme val="minor"/>
    </font>
    <font>
      <b/>
      <sz val="14"/>
      <color theme="5" tint="-0.249977111117893"/>
      <name val="Calibri"/>
      <family val="2"/>
      <scheme val="minor"/>
    </font>
    <font>
      <sz val="10"/>
      <color theme="1"/>
      <name val="Arial Unicode MS"/>
    </font>
    <font>
      <b/>
      <sz val="20"/>
      <color theme="1"/>
      <name val="Calibri"/>
      <family val="2"/>
      <scheme val="minor"/>
    </font>
    <font>
      <sz val="16"/>
      <color theme="9" tint="-0.249977111117893"/>
      <name val="Calibri"/>
      <family val="2"/>
      <scheme val="minor"/>
    </font>
    <font>
      <sz val="14"/>
      <color theme="9" tint="-0.249977111117893"/>
      <name val="Calibri"/>
      <family val="2"/>
      <scheme val="minor"/>
    </font>
    <font>
      <b/>
      <sz val="12"/>
      <color rgb="FF002060"/>
      <name val="Calibri"/>
      <family val="2"/>
      <scheme val="minor"/>
    </font>
    <font>
      <sz val="11"/>
      <name val="Calibri"/>
      <family val="2"/>
      <scheme val="minor"/>
    </font>
    <font>
      <sz val="20"/>
      <color theme="9" tint="-0.249977111117893"/>
      <name val="Calibri"/>
      <family val="2"/>
      <scheme val="minor"/>
    </font>
    <font>
      <sz val="12"/>
      <color rgb="FF1E1E1E"/>
      <name val="Segoe UI"/>
      <family val="2"/>
    </font>
    <font>
      <sz val="11"/>
      <color theme="1"/>
      <name val="Segoe UI"/>
      <family val="2"/>
    </font>
    <font>
      <sz val="14"/>
      <color theme="5" tint="-0.249977111117893"/>
      <name val="Arial"/>
      <family val="2"/>
    </font>
    <font>
      <sz val="14"/>
      <color theme="5" tint="-0.249977111117893"/>
      <name val="Calibri"/>
      <family val="2"/>
    </font>
    <font>
      <sz val="11"/>
      <color theme="0" tint="-4.9989318521683403E-2"/>
      <name val="Calibri"/>
      <family val="2"/>
      <scheme val="minor"/>
    </font>
    <font>
      <u/>
      <sz val="11"/>
      <color theme="0" tint="-4.9989318521683403E-2"/>
      <name val="Calibri"/>
      <family val="2"/>
      <scheme val="minor"/>
    </font>
    <font>
      <sz val="36"/>
      <color theme="0" tint="-4.9989318521683403E-2"/>
      <name val="Calibri"/>
      <family val="2"/>
      <scheme val="minor"/>
    </font>
    <font>
      <u/>
      <sz val="11"/>
      <color theme="0"/>
      <name val="Calibri"/>
      <family val="2"/>
      <scheme val="minor"/>
    </font>
    <font>
      <sz val="28"/>
      <color theme="0" tint="-4.9989318521683403E-2"/>
      <name val="Calibri"/>
      <family val="2"/>
      <scheme val="minor"/>
    </font>
    <font>
      <sz val="9"/>
      <color theme="0" tint="-4.9989318521683403E-2"/>
      <name val="Calibri"/>
      <family val="2"/>
      <scheme val="minor"/>
    </font>
    <font>
      <sz val="24"/>
      <color theme="0" tint="-4.9989318521683403E-2"/>
      <name val="Calibri"/>
      <family val="2"/>
      <scheme val="minor"/>
    </font>
    <font>
      <sz val="40"/>
      <color theme="0"/>
      <name val="Calibri"/>
      <family val="2"/>
      <scheme val="minor"/>
    </font>
    <font>
      <sz val="11"/>
      <color rgb="FF36454F"/>
      <name val="Calibri"/>
      <family val="2"/>
      <scheme val="minor"/>
    </font>
    <font>
      <sz val="15"/>
      <color rgb="FF000000"/>
      <name val="Segoe UI"/>
      <family val="2"/>
    </font>
    <font>
      <sz val="11"/>
      <color rgb="FF000000"/>
      <name val="Segoe UI"/>
      <family val="2"/>
    </font>
    <font>
      <sz val="12"/>
      <color theme="0" tint="-4.9989318521683403E-2"/>
      <name val="Calibri"/>
      <family val="2"/>
      <scheme val="minor"/>
    </font>
    <font>
      <sz val="14"/>
      <color theme="0" tint="-4.9989318521683403E-2"/>
      <name val="Calibri"/>
      <family val="2"/>
      <scheme val="minor"/>
    </font>
    <font>
      <sz val="16"/>
      <color theme="0" tint="-4.9989318521683403E-2"/>
      <name val="Calibri"/>
      <family val="2"/>
      <scheme val="minor"/>
    </font>
  </fonts>
  <fills count="29">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499984740745262"/>
        <bgColor indexed="64"/>
      </patternFill>
    </fill>
    <fill>
      <patternFill patternType="solid">
        <fgColor theme="9" tint="-0.249977111117893"/>
        <bgColor indexed="64"/>
      </patternFill>
    </fill>
    <fill>
      <patternFill patternType="solid">
        <fgColor theme="4" tint="0.79998168889431442"/>
        <bgColor theme="4" tint="0.79998168889431442"/>
      </patternFill>
    </fill>
    <fill>
      <patternFill patternType="solid">
        <fgColor theme="9"/>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indexed="26"/>
      </patternFill>
    </fill>
    <fill>
      <patternFill patternType="solid">
        <fgColor rgb="FFFFCC99"/>
      </patternFill>
    </fill>
    <fill>
      <patternFill patternType="solid">
        <fgColor theme="6" tint="0.79998168889431442"/>
        <bgColor indexed="64"/>
      </patternFill>
    </fill>
    <fill>
      <patternFill patternType="solid">
        <fgColor rgb="FFA5A5A5"/>
      </patternFill>
    </fill>
    <fill>
      <patternFill patternType="solid">
        <fgColor theme="1" tint="0.79998168889431442"/>
        <bgColor indexed="64"/>
      </patternFill>
    </fill>
    <fill>
      <patternFill patternType="solid">
        <fgColor theme="7"/>
      </patternFill>
    </fill>
    <fill>
      <patternFill patternType="solid">
        <fgColor theme="8" tint="0.79998168889431442"/>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2" tint="-0.89999084444715716"/>
        <bgColor indexed="64"/>
      </patternFill>
    </fill>
    <fill>
      <patternFill patternType="solid">
        <fgColor rgb="FFD1DAE0"/>
        <bgColor rgb="FF000000"/>
      </patternFill>
    </fill>
    <fill>
      <patternFill patternType="solid">
        <fgColor theme="1" tint="-0.249977111117893"/>
        <bgColor indexed="64"/>
      </patternFill>
    </fill>
  </fills>
  <borders count="34">
    <border>
      <left/>
      <right/>
      <top/>
      <bottom/>
      <diagonal/>
    </border>
    <border>
      <left/>
      <right/>
      <top/>
      <bottom style="thick">
        <color theme="1" tint="0.499984740745262"/>
      </bottom>
      <diagonal/>
    </border>
    <border>
      <left/>
      <right/>
      <top/>
      <bottom style="thin">
        <color theme="4"/>
      </bottom>
      <diagonal/>
    </border>
    <border>
      <left/>
      <right/>
      <top style="thick">
        <color theme="1" tint="0.499984740745262"/>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theme="5" tint="-0.499984740745262"/>
      </left>
      <right/>
      <top style="medium">
        <color theme="5" tint="-0.499984740745262"/>
      </top>
      <bottom style="thick">
        <color rgb="FF808080"/>
      </bottom>
      <diagonal/>
    </border>
    <border>
      <left/>
      <right/>
      <top style="medium">
        <color theme="5" tint="-0.499984740745262"/>
      </top>
      <bottom/>
      <diagonal/>
    </border>
    <border>
      <left/>
      <right style="medium">
        <color theme="5" tint="-0.499984740745262"/>
      </right>
      <top style="medium">
        <color theme="5" tint="-0.499984740745262"/>
      </top>
      <bottom/>
      <diagonal/>
    </border>
    <border>
      <left style="medium">
        <color theme="5" tint="-0.499984740745262"/>
      </left>
      <right/>
      <top/>
      <bottom style="thick">
        <color rgb="FF808080"/>
      </bottom>
      <diagonal/>
    </border>
    <border>
      <left/>
      <right style="medium">
        <color theme="5" tint="-0.499984740745262"/>
      </right>
      <top/>
      <bottom/>
      <diagonal/>
    </border>
    <border>
      <left style="medium">
        <color theme="5" tint="-0.499984740745262"/>
      </left>
      <right/>
      <top/>
      <bottom style="medium">
        <color theme="5" tint="-0.499984740745262"/>
      </bottom>
      <diagonal/>
    </border>
    <border>
      <left/>
      <right/>
      <top/>
      <bottom style="medium">
        <color theme="5" tint="-0.499984740745262"/>
      </bottom>
      <diagonal/>
    </border>
    <border>
      <left/>
      <right style="medium">
        <color theme="5" tint="-0.499984740745262"/>
      </right>
      <top/>
      <bottom style="medium">
        <color theme="5" tint="-0.499984740745262"/>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bottom style="thin">
        <color indexed="64"/>
      </bottom>
      <diagonal/>
    </border>
    <border>
      <left/>
      <right/>
      <top/>
      <bottom style="medium">
        <color theme="0"/>
      </bottom>
      <diagonal/>
    </border>
    <border>
      <left/>
      <right style="thin">
        <color indexed="64"/>
      </right>
      <top/>
      <bottom style="medium">
        <color theme="0"/>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theme="0" tint="-0.499984740745262"/>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right/>
      <top style="thin">
        <color indexed="64"/>
      </top>
      <bottom style="thin">
        <color indexed="64"/>
      </bottom>
      <diagonal/>
    </border>
    <border>
      <left/>
      <right/>
      <top/>
      <bottom style="medium">
        <color indexed="64"/>
      </bottom>
      <diagonal/>
    </border>
  </borders>
  <cellStyleXfs count="18">
    <xf numFmtId="0" fontId="0" fillId="0" borderId="0"/>
    <xf numFmtId="44" fontId="6" fillId="0" borderId="0" applyFont="0" applyFill="0" applyBorder="0" applyAlignment="0" applyProtection="0"/>
    <xf numFmtId="49" fontId="12" fillId="8" borderId="0"/>
    <xf numFmtId="164" fontId="6" fillId="0" borderId="0" applyFont="0" applyFill="0" applyBorder="0" applyAlignment="0" applyProtection="0"/>
    <xf numFmtId="9" fontId="6" fillId="0" borderId="0" applyFont="0" applyFill="0" applyBorder="0" applyAlignment="0" applyProtection="0"/>
    <xf numFmtId="0" fontId="16" fillId="0" borderId="0"/>
    <xf numFmtId="0" fontId="36" fillId="0" borderId="0"/>
    <xf numFmtId="0" fontId="18" fillId="0" borderId="0" applyNumberFormat="0" applyFill="0" applyBorder="0" applyAlignment="0" applyProtection="0"/>
    <xf numFmtId="0" fontId="25" fillId="17" borderId="0" applyNumberFormat="0" applyFont="0" applyBorder="0" applyAlignment="0" applyProtection="0"/>
    <xf numFmtId="0" fontId="25" fillId="0" borderId="0"/>
    <xf numFmtId="44" fontId="25" fillId="0" borderId="0" applyFont="0" applyFill="0" applyBorder="0" applyAlignment="0" applyProtection="0"/>
    <xf numFmtId="0" fontId="38" fillId="18" borderId="4" applyNumberFormat="0" applyAlignment="0" applyProtection="0"/>
    <xf numFmtId="1" fontId="8" fillId="4" borderId="0"/>
    <xf numFmtId="0" fontId="31" fillId="9" borderId="0"/>
    <xf numFmtId="0" fontId="14" fillId="13" borderId="0"/>
    <xf numFmtId="0" fontId="17" fillId="20" borderId="22" applyNumberFormat="0" applyAlignment="0" applyProtection="0"/>
    <xf numFmtId="0" fontId="46" fillId="21" borderId="13"/>
    <xf numFmtId="0" fontId="10" fillId="22" borderId="0" applyNumberFormat="0" applyBorder="0" applyAlignment="0" applyProtection="0"/>
  </cellStyleXfs>
  <cellXfs count="257">
    <xf numFmtId="0" fontId="0" fillId="0" borderId="0" xfId="0"/>
    <xf numFmtId="0" fontId="0" fillId="0" borderId="0" xfId="0" applyAlignment="1">
      <alignment horizontal="left" vertical="center" indent="1"/>
    </xf>
    <xf numFmtId="8" fontId="0" fillId="0" borderId="0" xfId="0" applyNumberFormat="1" applyAlignment="1">
      <alignment horizontal="left" vertical="center" indent="1"/>
    </xf>
    <xf numFmtId="0" fontId="1" fillId="0" borderId="0" xfId="0" applyFont="1"/>
    <xf numFmtId="0" fontId="3" fillId="5" borderId="0" xfId="0" applyFont="1" applyFill="1"/>
    <xf numFmtId="0" fontId="4" fillId="0" borderId="0" xfId="0" applyFont="1"/>
    <xf numFmtId="0" fontId="5" fillId="0" borderId="0" xfId="0" applyFont="1"/>
    <xf numFmtId="1" fontId="0" fillId="0" borderId="0" xfId="0" applyNumberFormat="1"/>
    <xf numFmtId="0" fontId="7" fillId="0" borderId="0" xfId="0" applyFont="1"/>
    <xf numFmtId="0" fontId="8" fillId="0" borderId="0" xfId="0" applyFont="1"/>
    <xf numFmtId="0" fontId="11" fillId="0" borderId="0" xfId="0" applyFont="1"/>
    <xf numFmtId="0" fontId="0" fillId="0" borderId="0" xfId="0" applyAlignment="1">
      <alignment horizontal="right"/>
    </xf>
    <xf numFmtId="0" fontId="1" fillId="0" borderId="1" xfId="0" applyFont="1" applyBorder="1"/>
    <xf numFmtId="9" fontId="0" fillId="0" borderId="0" xfId="0" applyNumberFormat="1"/>
    <xf numFmtId="0" fontId="0" fillId="9" borderId="0" xfId="0" applyFill="1"/>
    <xf numFmtId="0" fontId="13" fillId="0" borderId="0" xfId="0" applyFont="1"/>
    <xf numFmtId="164" fontId="0" fillId="0" borderId="0" xfId="3" applyFont="1"/>
    <xf numFmtId="0" fontId="0" fillId="0" borderId="0" xfId="0" applyAlignment="1">
      <alignment horizontal="center"/>
    </xf>
    <xf numFmtId="168" fontId="0" fillId="0" borderId="0" xfId="0" applyNumberFormat="1"/>
    <xf numFmtId="14" fontId="0" fillId="0" borderId="0" xfId="0" applyNumberFormat="1"/>
    <xf numFmtId="0" fontId="15" fillId="9" borderId="0" xfId="0" applyFont="1" applyFill="1"/>
    <xf numFmtId="0" fontId="15" fillId="6" borderId="0" xfId="0" applyFont="1" applyFill="1"/>
    <xf numFmtId="0" fontId="0" fillId="13" borderId="0" xfId="0" applyFill="1"/>
    <xf numFmtId="0" fontId="16" fillId="13" borderId="0" xfId="5" applyFill="1"/>
    <xf numFmtId="0" fontId="9" fillId="0" borderId="0" xfId="0" applyFont="1"/>
    <xf numFmtId="0" fontId="36" fillId="0" borderId="0" xfId="6"/>
    <xf numFmtId="0" fontId="1" fillId="0" borderId="0" xfId="0" applyFont="1" applyAlignment="1">
      <alignment horizontal="right"/>
    </xf>
    <xf numFmtId="0" fontId="19" fillId="0" borderId="0" xfId="0" applyFont="1"/>
    <xf numFmtId="0" fontId="20" fillId="0" borderId="0" xfId="0" applyFont="1"/>
    <xf numFmtId="0" fontId="7" fillId="0" borderId="0" xfId="0" applyFont="1" applyAlignment="1">
      <alignment horizontal="right"/>
    </xf>
    <xf numFmtId="0" fontId="21" fillId="0" borderId="0" xfId="0" applyFont="1"/>
    <xf numFmtId="0" fontId="0" fillId="16" borderId="0" xfId="0" applyFill="1"/>
    <xf numFmtId="10" fontId="0" fillId="0" borderId="0" xfId="0" applyNumberFormat="1"/>
    <xf numFmtId="0" fontId="24" fillId="0" borderId="0" xfId="0" applyFont="1"/>
    <xf numFmtId="0" fontId="22" fillId="0" borderId="0" xfId="0" applyFont="1"/>
    <xf numFmtId="0" fontId="4" fillId="0" borderId="13" xfId="0" applyFont="1" applyBorder="1"/>
    <xf numFmtId="1" fontId="4" fillId="0" borderId="13" xfId="0" applyNumberFormat="1" applyFont="1" applyBorder="1"/>
    <xf numFmtId="0" fontId="18" fillId="0" borderId="0" xfId="7"/>
    <xf numFmtId="0" fontId="26" fillId="0" borderId="0" xfId="0" applyFont="1"/>
    <xf numFmtId="165" fontId="0" fillId="16" borderId="0" xfId="1" applyNumberFormat="1" applyFont="1" applyFill="1"/>
    <xf numFmtId="1" fontId="0" fillId="16" borderId="0" xfId="0" applyNumberFormat="1" applyFill="1"/>
    <xf numFmtId="0" fontId="1" fillId="16" borderId="0" xfId="0" applyFont="1" applyFill="1" applyAlignment="1">
      <alignment horizontal="center"/>
    </xf>
    <xf numFmtId="14" fontId="0" fillId="16" borderId="0" xfId="1" applyNumberFormat="1" applyFont="1" applyFill="1"/>
    <xf numFmtId="0" fontId="0" fillId="3" borderId="0" xfId="0" applyFill="1"/>
    <xf numFmtId="1" fontId="8" fillId="4" borderId="0" xfId="0" applyNumberFormat="1" applyFont="1" applyFill="1"/>
    <xf numFmtId="0" fontId="1" fillId="0" borderId="0" xfId="0" applyFont="1" applyAlignment="1">
      <alignment horizontal="left" vertical="center" indent="1"/>
    </xf>
    <xf numFmtId="167" fontId="21" fillId="0" borderId="0" xfId="0" applyNumberFormat="1" applyFont="1"/>
    <xf numFmtId="0" fontId="27" fillId="0" borderId="0" xfId="0" applyFont="1"/>
    <xf numFmtId="0" fontId="12" fillId="10" borderId="14" xfId="0" applyFont="1" applyFill="1" applyBorder="1"/>
    <xf numFmtId="0" fontId="12" fillId="10" borderId="17" xfId="0" applyFont="1" applyFill="1" applyBorder="1"/>
    <xf numFmtId="0" fontId="12" fillId="10" borderId="19" xfId="0" applyFont="1" applyFill="1" applyBorder="1"/>
    <xf numFmtId="171" fontId="0" fillId="0" borderId="0" xfId="0" applyNumberFormat="1"/>
    <xf numFmtId="169" fontId="0" fillId="0" borderId="0" xfId="0" applyNumberFormat="1"/>
    <xf numFmtId="0" fontId="8" fillId="16" borderId="0" xfId="0" applyFont="1" applyFill="1"/>
    <xf numFmtId="172" fontId="8" fillId="0" borderId="0" xfId="0" applyNumberFormat="1" applyFont="1"/>
    <xf numFmtId="49" fontId="8" fillId="0" borderId="0" xfId="0" applyNumberFormat="1" applyFont="1"/>
    <xf numFmtId="0" fontId="0" fillId="4" borderId="0" xfId="0" applyFill="1"/>
    <xf numFmtId="0" fontId="4" fillId="0" borderId="11" xfId="0" applyFont="1" applyBorder="1"/>
    <xf numFmtId="0" fontId="4" fillId="0" borderId="8" xfId="0" applyFont="1" applyBorder="1"/>
    <xf numFmtId="0" fontId="4" fillId="0" borderId="9" xfId="0" applyFont="1" applyBorder="1"/>
    <xf numFmtId="0" fontId="4" fillId="0" borderId="10" xfId="0" applyFont="1" applyBorder="1"/>
    <xf numFmtId="0" fontId="4" fillId="0" borderId="12" xfId="0" applyFont="1" applyBorder="1"/>
    <xf numFmtId="0" fontId="0" fillId="11" borderId="0" xfId="0" applyFill="1"/>
    <xf numFmtId="0" fontId="4" fillId="16" borderId="0" xfId="0" applyFont="1" applyFill="1"/>
    <xf numFmtId="0" fontId="12" fillId="13" borderId="0" xfId="0" applyFont="1" applyFill="1"/>
    <xf numFmtId="0" fontId="0" fillId="0" borderId="9" xfId="0" applyBorder="1"/>
    <xf numFmtId="0" fontId="0" fillId="16" borderId="9" xfId="0" applyFill="1" applyBorder="1"/>
    <xf numFmtId="0" fontId="1" fillId="0" borderId="9" xfId="0" applyFont="1" applyBorder="1" applyAlignment="1">
      <alignment horizontal="left"/>
    </xf>
    <xf numFmtId="0" fontId="36" fillId="0" borderId="9" xfId="6" applyBorder="1"/>
    <xf numFmtId="0" fontId="23" fillId="0" borderId="9" xfId="0" applyFont="1" applyBorder="1"/>
    <xf numFmtId="14" fontId="7" fillId="0" borderId="0" xfId="0" applyNumberFormat="1" applyFont="1"/>
    <xf numFmtId="0" fontId="3" fillId="11" borderId="0" xfId="0" applyFont="1" applyFill="1"/>
    <xf numFmtId="0" fontId="32" fillId="0" borderId="0" xfId="0" applyFont="1"/>
    <xf numFmtId="0" fontId="7" fillId="0" borderId="0" xfId="0" applyFont="1" applyAlignment="1">
      <alignment horizontal="center"/>
    </xf>
    <xf numFmtId="14" fontId="7" fillId="15" borderId="0" xfId="0" applyNumberFormat="1" applyFont="1" applyFill="1"/>
    <xf numFmtId="0" fontId="7" fillId="15" borderId="0" xfId="0" applyFont="1" applyFill="1" applyAlignment="1">
      <alignment horizontal="center"/>
    </xf>
    <xf numFmtId="0" fontId="7" fillId="15" borderId="0" xfId="0" applyFont="1" applyFill="1"/>
    <xf numFmtId="0" fontId="0" fillId="0" borderId="0" xfId="0" applyAlignment="1">
      <alignment horizontal="left"/>
    </xf>
    <xf numFmtId="0" fontId="3" fillId="11" borderId="0" xfId="0" applyFont="1" applyFill="1" applyAlignment="1">
      <alignment horizontal="left" vertical="center"/>
    </xf>
    <xf numFmtId="0" fontId="36" fillId="0" borderId="0" xfId="6" applyAlignment="1">
      <alignment horizontal="left"/>
    </xf>
    <xf numFmtId="9" fontId="0" fillId="0" borderId="0" xfId="4" applyFont="1"/>
    <xf numFmtId="170" fontId="0" fillId="0" borderId="0" xfId="0" applyNumberFormat="1"/>
    <xf numFmtId="10" fontId="0" fillId="0" borderId="0" xfId="0" applyNumberFormat="1" applyAlignment="1">
      <alignment horizontal="left"/>
    </xf>
    <xf numFmtId="9" fontId="0" fillId="0" borderId="0" xfId="0" applyNumberFormat="1" applyAlignment="1">
      <alignment horizontal="left"/>
    </xf>
    <xf numFmtId="0" fontId="33" fillId="0" borderId="0" xfId="0" applyFont="1" applyAlignment="1">
      <alignment wrapText="1"/>
    </xf>
    <xf numFmtId="0" fontId="34" fillId="0" borderId="0" xfId="0" applyFont="1" applyAlignment="1">
      <alignment horizontal="right"/>
    </xf>
    <xf numFmtId="9" fontId="0" fillId="16" borderId="0" xfId="0" applyNumberFormat="1" applyFill="1"/>
    <xf numFmtId="10" fontId="0" fillId="16" borderId="0" xfId="0" applyNumberFormat="1" applyFill="1"/>
    <xf numFmtId="0" fontId="4" fillId="0" borderId="0" xfId="0" applyFont="1" applyAlignment="1">
      <alignment horizontal="right"/>
    </xf>
    <xf numFmtId="49" fontId="12" fillId="11" borderId="0" xfId="2" applyFill="1"/>
    <xf numFmtId="0" fontId="31" fillId="9" borderId="0" xfId="0" applyFont="1" applyFill="1"/>
    <xf numFmtId="1" fontId="8" fillId="4" borderId="0" xfId="12"/>
    <xf numFmtId="10" fontId="8" fillId="4" borderId="0" xfId="4" applyNumberFormat="1" applyFont="1" applyFill="1"/>
    <xf numFmtId="1" fontId="8" fillId="4" borderId="0" xfId="12" applyAlignment="1">
      <alignment horizontal="right"/>
    </xf>
    <xf numFmtId="0" fontId="35" fillId="0" borderId="0" xfId="6" applyFont="1"/>
    <xf numFmtId="0" fontId="31" fillId="9" borderId="0" xfId="13"/>
    <xf numFmtId="0" fontId="14" fillId="13" borderId="0" xfId="14"/>
    <xf numFmtId="9" fontId="14" fillId="13" borderId="0" xfId="4" applyFont="1" applyFill="1"/>
    <xf numFmtId="0" fontId="38" fillId="18" borderId="4" xfId="11"/>
    <xf numFmtId="6" fontId="0" fillId="0" borderId="0" xfId="0" applyNumberFormat="1"/>
    <xf numFmtId="0" fontId="17" fillId="11" borderId="0" xfId="0" applyFont="1" applyFill="1"/>
    <xf numFmtId="0" fontId="10" fillId="11" borderId="0" xfId="0" applyFont="1" applyFill="1"/>
    <xf numFmtId="8" fontId="0" fillId="0" borderId="0" xfId="0" applyNumberFormat="1" applyAlignment="1">
      <alignment horizontal="center" vertical="center"/>
    </xf>
    <xf numFmtId="0" fontId="17" fillId="3" borderId="0" xfId="0" applyFont="1" applyFill="1"/>
    <xf numFmtId="0" fontId="1" fillId="16" borderId="0" xfId="0" applyFont="1" applyFill="1"/>
    <xf numFmtId="0" fontId="38" fillId="18" borderId="4" xfId="11" applyAlignment="1">
      <alignment horizontal="left"/>
    </xf>
    <xf numFmtId="1" fontId="0" fillId="16" borderId="15" xfId="0" applyNumberFormat="1" applyFill="1" applyBorder="1"/>
    <xf numFmtId="1" fontId="0" fillId="16" borderId="16" xfId="0" applyNumberFormat="1" applyFill="1" applyBorder="1"/>
    <xf numFmtId="9" fontId="0" fillId="16" borderId="18" xfId="0" applyNumberFormat="1" applyFill="1" applyBorder="1"/>
    <xf numFmtId="9" fontId="0" fillId="16" borderId="20" xfId="0" applyNumberFormat="1" applyFill="1" applyBorder="1"/>
    <xf numFmtId="9" fontId="0" fillId="16" borderId="21" xfId="0" applyNumberFormat="1" applyFill="1" applyBorder="1"/>
    <xf numFmtId="1" fontId="37" fillId="16" borderId="0" xfId="4" applyNumberFormat="1" applyFont="1" applyFill="1"/>
    <xf numFmtId="9" fontId="37" fillId="16" borderId="0" xfId="0" applyNumberFormat="1" applyFont="1" applyFill="1"/>
    <xf numFmtId="0" fontId="30" fillId="0" borderId="0" xfId="0" quotePrefix="1" applyFont="1"/>
    <xf numFmtId="1" fontId="8" fillId="16" borderId="0" xfId="0" applyNumberFormat="1" applyFont="1" applyFill="1"/>
    <xf numFmtId="9" fontId="8" fillId="16" borderId="0" xfId="0" applyNumberFormat="1" applyFont="1" applyFill="1"/>
    <xf numFmtId="0" fontId="36" fillId="0" borderId="0" xfId="6" quotePrefix="1"/>
    <xf numFmtId="0" fontId="1" fillId="0" borderId="0" xfId="0" applyFont="1" applyAlignment="1">
      <alignment horizontal="center" vertical="center" wrapText="1"/>
    </xf>
    <xf numFmtId="0" fontId="0" fillId="0" borderId="0" xfId="0" applyAlignment="1">
      <alignment vertical="center" wrapText="1"/>
    </xf>
    <xf numFmtId="0" fontId="42" fillId="0" borderId="0" xfId="0" applyFont="1" applyAlignment="1">
      <alignment vertical="center" wrapText="1"/>
    </xf>
    <xf numFmtId="0" fontId="21" fillId="16" borderId="0" xfId="0" applyFont="1" applyFill="1"/>
    <xf numFmtId="0" fontId="21" fillId="16" borderId="0" xfId="0" applyFont="1" applyFill="1" applyAlignment="1">
      <alignment horizontal="left" vertical="center" indent="1"/>
    </xf>
    <xf numFmtId="8" fontId="21" fillId="16" borderId="0" xfId="0" applyNumberFormat="1" applyFont="1" applyFill="1" applyAlignment="1">
      <alignment horizontal="right" vertical="center" indent="1"/>
    </xf>
    <xf numFmtId="1" fontId="21" fillId="16" borderId="0" xfId="0" applyNumberFormat="1" applyFont="1" applyFill="1" applyAlignment="1">
      <alignment horizontal="right" vertical="center" indent="1"/>
    </xf>
    <xf numFmtId="49" fontId="21" fillId="16" borderId="0" xfId="0" applyNumberFormat="1" applyFont="1" applyFill="1" applyAlignment="1">
      <alignment horizontal="center" vertical="center"/>
    </xf>
    <xf numFmtId="6" fontId="21" fillId="16" borderId="0" xfId="0" applyNumberFormat="1" applyFont="1" applyFill="1" applyAlignment="1">
      <alignment horizontal="right" vertical="center" indent="1"/>
    </xf>
    <xf numFmtId="0" fontId="4" fillId="16" borderId="5" xfId="0" applyFont="1" applyFill="1" applyBorder="1"/>
    <xf numFmtId="0" fontId="4" fillId="16" borderId="6" xfId="0" applyFont="1" applyFill="1" applyBorder="1"/>
    <xf numFmtId="0" fontId="4" fillId="16" borderId="7" xfId="0" applyFont="1" applyFill="1" applyBorder="1"/>
    <xf numFmtId="0" fontId="4" fillId="16" borderId="8" xfId="0" applyFont="1" applyFill="1" applyBorder="1"/>
    <xf numFmtId="0" fontId="4" fillId="16" borderId="9" xfId="0" applyFont="1" applyFill="1" applyBorder="1"/>
    <xf numFmtId="10" fontId="38" fillId="18" borderId="4" xfId="11" applyNumberFormat="1" applyAlignment="1">
      <alignment horizontal="left"/>
    </xf>
    <xf numFmtId="14" fontId="14" fillId="13" borderId="0" xfId="14" applyNumberFormat="1"/>
    <xf numFmtId="9" fontId="38" fillId="18" borderId="4" xfId="11" applyNumberFormat="1" applyAlignment="1">
      <alignment horizontal="left"/>
    </xf>
    <xf numFmtId="170" fontId="0" fillId="16" borderId="0" xfId="0" applyNumberFormat="1" applyFill="1"/>
    <xf numFmtId="0" fontId="1" fillId="0" borderId="0" xfId="0" applyFont="1" applyAlignment="1">
      <alignment horizontal="left"/>
    </xf>
    <xf numFmtId="170" fontId="14" fillId="13" borderId="0" xfId="14" applyNumberFormat="1"/>
    <xf numFmtId="9" fontId="33" fillId="0" borderId="0" xfId="0" applyNumberFormat="1" applyFont="1"/>
    <xf numFmtId="173" fontId="0" fillId="19" borderId="0" xfId="4" applyNumberFormat="1" applyFont="1" applyFill="1"/>
    <xf numFmtId="10" fontId="0" fillId="19" borderId="0" xfId="4" applyNumberFormat="1" applyFont="1" applyFill="1"/>
    <xf numFmtId="0" fontId="43" fillId="0" borderId="0" xfId="0" applyFont="1"/>
    <xf numFmtId="0" fontId="8" fillId="19" borderId="0" xfId="0" applyFont="1" applyFill="1"/>
    <xf numFmtId="0" fontId="14" fillId="13" borderId="9" xfId="14" applyBorder="1"/>
    <xf numFmtId="0" fontId="36" fillId="0" borderId="11" xfId="6" applyBorder="1"/>
    <xf numFmtId="0" fontId="13" fillId="0" borderId="0" xfId="0" applyFont="1" applyAlignment="1">
      <alignment vertical="center" wrapText="1"/>
    </xf>
    <xf numFmtId="0" fontId="13" fillId="0" borderId="0" xfId="0" applyFont="1" applyAlignment="1">
      <alignment vertical="center"/>
    </xf>
    <xf numFmtId="0" fontId="13" fillId="5" borderId="0" xfId="0" applyFont="1" applyFill="1"/>
    <xf numFmtId="0" fontId="44" fillId="9" borderId="0" xfId="13" applyFont="1"/>
    <xf numFmtId="0" fontId="18" fillId="4" borderId="0" xfId="7" applyFill="1" applyAlignment="1">
      <alignment vertical="center"/>
    </xf>
    <xf numFmtId="0" fontId="29" fillId="4" borderId="0" xfId="0" applyFont="1" applyFill="1"/>
    <xf numFmtId="1" fontId="8" fillId="21" borderId="0" xfId="12" applyFill="1"/>
    <xf numFmtId="0" fontId="29" fillId="4" borderId="0" xfId="0" applyFont="1" applyFill="1" applyAlignment="1">
      <alignment vertical="center"/>
    </xf>
    <xf numFmtId="1" fontId="40" fillId="21" borderId="0" xfId="12" applyFont="1" applyFill="1"/>
    <xf numFmtId="0" fontId="46" fillId="21" borderId="13" xfId="16"/>
    <xf numFmtId="0" fontId="47" fillId="12" borderId="3" xfId="0" applyFont="1" applyFill="1" applyBorder="1"/>
    <xf numFmtId="0" fontId="47" fillId="0" borderId="0" xfId="0" applyFont="1"/>
    <xf numFmtId="0" fontId="47" fillId="12" borderId="0" xfId="0" applyFont="1" applyFill="1"/>
    <xf numFmtId="0" fontId="47" fillId="0" borderId="2" xfId="0" applyFont="1" applyBorder="1"/>
    <xf numFmtId="0" fontId="9" fillId="4" borderId="0" xfId="0" applyFont="1" applyFill="1"/>
    <xf numFmtId="166" fontId="8" fillId="0" borderId="0" xfId="0" applyNumberFormat="1" applyFont="1"/>
    <xf numFmtId="166" fontId="39" fillId="0" borderId="0" xfId="0" applyNumberFormat="1" applyFont="1"/>
    <xf numFmtId="166" fontId="41" fillId="0" borderId="0" xfId="0" applyNumberFormat="1" applyFont="1"/>
    <xf numFmtId="0" fontId="48" fillId="9" borderId="0" xfId="13" applyFont="1"/>
    <xf numFmtId="166" fontId="14" fillId="13" borderId="0" xfId="14" applyNumberFormat="1"/>
    <xf numFmtId="0" fontId="31" fillId="9" borderId="0" xfId="13" applyAlignment="1">
      <alignment horizontal="center"/>
    </xf>
    <xf numFmtId="0" fontId="46" fillId="21" borderId="23" xfId="16" applyBorder="1"/>
    <xf numFmtId="0" fontId="10" fillId="22" borderId="0" xfId="17"/>
    <xf numFmtId="0" fontId="38" fillId="18" borderId="0" xfId="11" applyBorder="1"/>
    <xf numFmtId="0" fontId="13" fillId="0" borderId="0" xfId="0" applyFont="1" applyAlignment="1">
      <alignment wrapText="1"/>
    </xf>
    <xf numFmtId="0" fontId="49" fillId="0" borderId="0" xfId="0" applyFont="1"/>
    <xf numFmtId="0" fontId="44" fillId="19" borderId="0" xfId="13" applyFont="1" applyFill="1"/>
    <xf numFmtId="0" fontId="49" fillId="0" borderId="0" xfId="0" applyFont="1" applyAlignment="1">
      <alignment vertical="center" wrapText="1"/>
    </xf>
    <xf numFmtId="0" fontId="0" fillId="0" borderId="0" xfId="0" applyAlignment="1">
      <alignment vertical="center"/>
    </xf>
    <xf numFmtId="0" fontId="45" fillId="19" borderId="0" xfId="13" applyFont="1" applyFill="1"/>
    <xf numFmtId="0" fontId="0" fillId="0" borderId="0" xfId="0" applyAlignment="1">
      <alignment wrapText="1"/>
    </xf>
    <xf numFmtId="0" fontId="0" fillId="21" borderId="0" xfId="0" applyFill="1"/>
    <xf numFmtId="168" fontId="0" fillId="23" borderId="0" xfId="4" applyNumberFormat="1" applyFont="1" applyFill="1"/>
    <xf numFmtId="1" fontId="8" fillId="23" borderId="0" xfId="12" applyFill="1"/>
    <xf numFmtId="1" fontId="8" fillId="24" borderId="0" xfId="12" applyFill="1"/>
    <xf numFmtId="9" fontId="0" fillId="24" borderId="0" xfId="4" applyFont="1" applyFill="1"/>
    <xf numFmtId="1" fontId="52" fillId="19" borderId="0" xfId="12" applyFont="1" applyFill="1"/>
    <xf numFmtId="1" fontId="40" fillId="16" borderId="0" xfId="12" applyFont="1" applyFill="1"/>
    <xf numFmtId="0" fontId="53" fillId="0" borderId="0" xfId="0" applyFont="1"/>
    <xf numFmtId="0" fontId="54" fillId="0" borderId="0" xfId="7" applyFont="1"/>
    <xf numFmtId="14" fontId="53" fillId="0" borderId="0" xfId="0" applyNumberFormat="1" applyFont="1"/>
    <xf numFmtId="0" fontId="53" fillId="25" borderId="0" xfId="0" applyFont="1" applyFill="1"/>
    <xf numFmtId="0" fontId="0" fillId="25" borderId="0" xfId="0" applyFill="1"/>
    <xf numFmtId="0" fontId="0" fillId="25" borderId="9" xfId="0" applyFill="1" applyBorder="1"/>
    <xf numFmtId="0" fontId="0" fillId="26" borderId="0" xfId="0" applyFill="1"/>
    <xf numFmtId="0" fontId="0" fillId="26" borderId="9" xfId="0" applyFill="1" applyBorder="1"/>
    <xf numFmtId="0" fontId="55" fillId="26" borderId="0" xfId="0" applyFont="1" applyFill="1"/>
    <xf numFmtId="0" fontId="55" fillId="26" borderId="24" xfId="0" applyFont="1" applyFill="1" applyBorder="1"/>
    <xf numFmtId="0" fontId="58" fillId="25" borderId="0" xfId="0" applyFont="1" applyFill="1"/>
    <xf numFmtId="0" fontId="46" fillId="7" borderId="13" xfId="16" applyFill="1"/>
    <xf numFmtId="0" fontId="57" fillId="26" borderId="0" xfId="0" applyFont="1" applyFill="1"/>
    <xf numFmtId="0" fontId="57" fillId="26" borderId="24" xfId="0" applyFont="1" applyFill="1" applyBorder="1"/>
    <xf numFmtId="0" fontId="59" fillId="26" borderId="0" xfId="0" applyFont="1" applyFill="1"/>
    <xf numFmtId="0" fontId="50" fillId="0" borderId="0" xfId="0" applyFont="1" applyAlignment="1">
      <alignment vertical="center"/>
    </xf>
    <xf numFmtId="0" fontId="0" fillId="26" borderId="25" xfId="0" applyFill="1" applyBorder="1"/>
    <xf numFmtId="0" fontId="0" fillId="26" borderId="24" xfId="0" applyFill="1" applyBorder="1"/>
    <xf numFmtId="1" fontId="10" fillId="22" borderId="0" xfId="17" applyNumberFormat="1" applyAlignment="1">
      <alignment horizontal="right"/>
    </xf>
    <xf numFmtId="1" fontId="10" fillId="22" borderId="0" xfId="17" applyNumberFormat="1"/>
    <xf numFmtId="1" fontId="10" fillId="22" borderId="0" xfId="17" quotePrefix="1" applyNumberFormat="1"/>
    <xf numFmtId="0" fontId="56" fillId="26" borderId="0" xfId="7" applyFont="1" applyFill="1" applyAlignment="1">
      <alignment vertical="center"/>
    </xf>
    <xf numFmtId="0" fontId="10" fillId="26" borderId="0" xfId="0" applyFont="1" applyFill="1"/>
    <xf numFmtId="0" fontId="60" fillId="26" borderId="0" xfId="0" applyFont="1" applyFill="1" applyAlignment="1">
      <alignment vertical="center"/>
    </xf>
    <xf numFmtId="0" fontId="4" fillId="0" borderId="27" xfId="0" applyFont="1" applyBorder="1"/>
    <xf numFmtId="0" fontId="4" fillId="23" borderId="23" xfId="0" applyFont="1" applyFill="1" applyBorder="1"/>
    <xf numFmtId="0" fontId="4" fillId="23" borderId="23" xfId="0" quotePrefix="1" applyFont="1" applyFill="1" applyBorder="1"/>
    <xf numFmtId="0" fontId="4" fillId="23" borderId="13" xfId="0" applyFont="1" applyFill="1" applyBorder="1"/>
    <xf numFmtId="0" fontId="4" fillId="23" borderId="13" xfId="0" quotePrefix="1" applyFont="1" applyFill="1" applyBorder="1"/>
    <xf numFmtId="0" fontId="4" fillId="23" borderId="29" xfId="0" applyFont="1" applyFill="1" applyBorder="1"/>
    <xf numFmtId="0" fontId="4" fillId="23" borderId="26" xfId="0" applyFont="1" applyFill="1" applyBorder="1"/>
    <xf numFmtId="0" fontId="4" fillId="23" borderId="28" xfId="0" quotePrefix="1" applyFont="1" applyFill="1" applyBorder="1"/>
    <xf numFmtId="0" fontId="4" fillId="2" borderId="23" xfId="0" applyFont="1" applyFill="1" applyBorder="1"/>
    <xf numFmtId="0" fontId="4" fillId="2" borderId="13" xfId="0" applyFont="1" applyFill="1" applyBorder="1"/>
    <xf numFmtId="0" fontId="4" fillId="9" borderId="13" xfId="0" applyFont="1" applyFill="1" applyBorder="1"/>
    <xf numFmtId="0" fontId="4" fillId="9" borderId="23" xfId="0" applyFont="1" applyFill="1" applyBorder="1"/>
    <xf numFmtId="1" fontId="21" fillId="9" borderId="26" xfId="12" applyFont="1" applyFill="1" applyBorder="1"/>
    <xf numFmtId="0" fontId="61" fillId="27" borderId="0" xfId="0" applyFont="1" applyFill="1"/>
    <xf numFmtId="0" fontId="62" fillId="0" borderId="0" xfId="0" applyFont="1"/>
    <xf numFmtId="0" fontId="63" fillId="0" borderId="0" xfId="0" applyFont="1"/>
    <xf numFmtId="0" fontId="63" fillId="0" borderId="0" xfId="0" applyFont="1" applyAlignment="1">
      <alignment wrapText="1"/>
    </xf>
    <xf numFmtId="0" fontId="64" fillId="26" borderId="0" xfId="0" applyFont="1" applyFill="1"/>
    <xf numFmtId="14" fontId="3" fillId="11" borderId="0" xfId="2" applyNumberFormat="1" applyFont="1" applyFill="1"/>
    <xf numFmtId="14" fontId="3" fillId="11" borderId="0" xfId="2" applyNumberFormat="1" applyFont="1" applyFill="1" applyAlignment="1">
      <alignment horizontal="center"/>
    </xf>
    <xf numFmtId="49" fontId="12" fillId="11" borderId="0" xfId="2" applyFill="1" applyAlignment="1">
      <alignment horizontal="center"/>
    </xf>
    <xf numFmtId="0" fontId="55" fillId="26" borderId="0" xfId="0" applyFont="1" applyFill="1" applyAlignment="1">
      <alignment horizontal="left"/>
    </xf>
    <xf numFmtId="0" fontId="55" fillId="26" borderId="24" xfId="0" applyFont="1" applyFill="1" applyBorder="1" applyAlignment="1">
      <alignment horizontal="left"/>
    </xf>
    <xf numFmtId="0" fontId="3" fillId="28" borderId="0" xfId="0" applyFont="1" applyFill="1" applyAlignment="1">
      <alignment horizontal="left" vertical="center" wrapText="1"/>
    </xf>
    <xf numFmtId="1" fontId="4" fillId="23" borderId="30" xfId="12" applyFont="1" applyFill="1" applyBorder="1" applyAlignment="1">
      <alignment horizontal="center"/>
    </xf>
    <xf numFmtId="1" fontId="4" fillId="23" borderId="31" xfId="12" applyFont="1" applyFill="1" applyBorder="1" applyAlignment="1">
      <alignment horizontal="center"/>
    </xf>
    <xf numFmtId="1" fontId="4" fillId="2" borderId="30" xfId="12" applyFont="1" applyFill="1" applyBorder="1" applyAlignment="1">
      <alignment horizontal="center"/>
    </xf>
    <xf numFmtId="1" fontId="4" fillId="2" borderId="31" xfId="12" applyFont="1" applyFill="1" applyBorder="1" applyAlignment="1">
      <alignment horizontal="center"/>
    </xf>
    <xf numFmtId="0" fontId="14" fillId="13" borderId="0" xfId="14" applyAlignment="1">
      <alignment horizontal="center"/>
    </xf>
    <xf numFmtId="0" fontId="57" fillId="26" borderId="0" xfId="0" applyFont="1" applyFill="1" applyAlignment="1">
      <alignment horizontal="center"/>
    </xf>
    <xf numFmtId="0" fontId="57" fillId="26" borderId="24" xfId="0" applyFont="1" applyFill="1" applyBorder="1" applyAlignment="1">
      <alignment horizontal="center"/>
    </xf>
    <xf numFmtId="0" fontId="64" fillId="26" borderId="0" xfId="0" applyFont="1" applyFill="1" applyAlignment="1">
      <alignment horizontal="left" wrapText="1"/>
    </xf>
    <xf numFmtId="0" fontId="55" fillId="26" borderId="0" xfId="0" applyFont="1" applyFill="1" applyAlignment="1">
      <alignment horizontal="center" vertical="center"/>
    </xf>
    <xf numFmtId="0" fontId="55" fillId="26" borderId="24" xfId="0" applyFont="1" applyFill="1" applyBorder="1" applyAlignment="1">
      <alignment horizontal="center" vertical="center"/>
    </xf>
    <xf numFmtId="0" fontId="12" fillId="20" borderId="0" xfId="15" applyFont="1" applyBorder="1" applyAlignment="1">
      <alignment horizontal="center"/>
    </xf>
    <xf numFmtId="0" fontId="55" fillId="26" borderId="0" xfId="0" applyFont="1" applyFill="1" applyAlignment="1">
      <alignment horizontal="center"/>
    </xf>
    <xf numFmtId="0" fontId="65" fillId="26" borderId="0" xfId="0" applyFont="1" applyFill="1"/>
    <xf numFmtId="0" fontId="65" fillId="26" borderId="0" xfId="0" applyFont="1" applyFill="1" applyAlignment="1"/>
    <xf numFmtId="0" fontId="65" fillId="26" borderId="24" xfId="0" applyFont="1" applyFill="1" applyBorder="1" applyAlignment="1"/>
    <xf numFmtId="0" fontId="46" fillId="21" borderId="27" xfId="16" applyBorder="1" applyAlignment="1">
      <alignment horizontal="left"/>
    </xf>
    <xf numFmtId="0" fontId="46" fillId="21" borderId="32" xfId="16" applyBorder="1" applyAlignment="1">
      <alignment horizontal="left"/>
    </xf>
    <xf numFmtId="0" fontId="46" fillId="21" borderId="28" xfId="16" applyBorder="1" applyAlignment="1">
      <alignment horizontal="left"/>
    </xf>
    <xf numFmtId="0" fontId="55" fillId="26" borderId="0" xfId="0" applyFont="1" applyFill="1" applyBorder="1"/>
    <xf numFmtId="0" fontId="58" fillId="25" borderId="0" xfId="0" applyFont="1" applyFill="1" applyBorder="1"/>
    <xf numFmtId="0" fontId="0" fillId="25" borderId="0" xfId="0" applyFill="1" applyBorder="1"/>
    <xf numFmtId="0" fontId="12" fillId="14" borderId="33" xfId="0" applyFont="1" applyFill="1" applyBorder="1"/>
    <xf numFmtId="0" fontId="66" fillId="26" borderId="0" xfId="0" applyFont="1" applyFill="1" applyAlignment="1">
      <alignment horizontal="left" vertical="center" wrapText="1"/>
    </xf>
    <xf numFmtId="0" fontId="66" fillId="26" borderId="0" xfId="0" applyFont="1" applyFill="1" applyBorder="1"/>
    <xf numFmtId="0" fontId="66" fillId="26" borderId="24" xfId="0" applyFont="1" applyFill="1" applyBorder="1"/>
    <xf numFmtId="0" fontId="66" fillId="26" borderId="0" xfId="0" quotePrefix="1" applyFont="1" applyFill="1" applyBorder="1"/>
    <xf numFmtId="0" fontId="66" fillId="26" borderId="0" xfId="0" quotePrefix="1" applyFont="1" applyFill="1"/>
  </cellXfs>
  <cellStyles count="18">
    <cellStyle name="Accent4" xfId="17" builtinId="41"/>
    <cellStyle name="Check Cell" xfId="15" builtinId="23"/>
    <cellStyle name="Currency" xfId="1" builtinId="4"/>
    <cellStyle name="HeaderCol" xfId="16" xr:uid="{36C88C07-F331-4E8B-8A7F-AA04464668F3}"/>
    <cellStyle name="Highlight_formula" xfId="6" xr:uid="{5A22CBBA-E1DB-492D-B5DD-755AC33EA083}"/>
    <cellStyle name="Hyperlink" xfId="7" builtinId="8"/>
    <cellStyle name="Input" xfId="11" builtinId="20" customBuiltin="1"/>
    <cellStyle name="Main_title" xfId="5" xr:uid="{A9389629-24E1-462C-B4A5-0E5FE646DF42}"/>
    <cellStyle name="Milliers 2" xfId="3" xr:uid="{7A5A369A-1614-4AF0-AC68-12C54D77DF47}"/>
    <cellStyle name="Monétaire 2" xfId="10" xr:uid="{2F0C3454-CB0D-4039-B449-B4E2DC17EF33}"/>
    <cellStyle name="Normal" xfId="0" builtinId="0"/>
    <cellStyle name="Normal 2" xfId="9" xr:uid="{AE1480D9-0940-4DCE-A403-141A10730EFC}"/>
    <cellStyle name="Percent" xfId="4" builtinId="5"/>
    <cellStyle name="Resultat" xfId="14" xr:uid="{7BA4D26E-D74D-4EB8-AE39-ED9D2C88A377}"/>
    <cellStyle name="titre_lignecol" xfId="12" xr:uid="{005A13D0-58E6-4BC3-9ACF-0216F8E48C9B}"/>
    <cellStyle name="TitreH1" xfId="13" xr:uid="{9B5D6A74-3C5F-4962-9935-FDE642A9E103}"/>
    <cellStyle name="TitreTBL" xfId="2" xr:uid="{6930FE3F-FABF-4BB0-A39B-FD6E0B597413}"/>
    <cellStyle name="Yellow" xfId="8" xr:uid="{E4BB24CE-A7AC-4D50-8404-6400C3ABCE0E}"/>
  </cellStyles>
  <dxfs count="53">
    <dxf>
      <font>
        <b/>
        <i val="0"/>
        <color theme="9"/>
      </font>
    </dxf>
    <dxf>
      <font>
        <b/>
        <i val="0"/>
        <color rgb="FFC00000"/>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4" tint="0.39994506668294322"/>
        </patternFill>
      </fill>
    </dxf>
    <dxf>
      <fill>
        <patternFill>
          <bgColor theme="5" tint="0.39994506668294322"/>
        </patternFill>
      </fill>
    </dxf>
    <dxf>
      <font>
        <color theme="9" tint="0.39994506668294322"/>
      </font>
      <fill>
        <patternFill>
          <bgColor theme="2" tint="-0.499984740745262"/>
        </patternFill>
      </fill>
    </dxf>
    <dxf>
      <font>
        <color theme="4"/>
      </font>
      <fill>
        <patternFill>
          <bgColor theme="2" tint="-0.499984740745262"/>
        </patternFill>
      </fill>
    </dxf>
    <dxf>
      <font>
        <color theme="9" tint="0.39994506668294322"/>
      </font>
      <fill>
        <patternFill>
          <bgColor theme="2" tint="-0.499984740745262"/>
        </patternFill>
      </fill>
    </dxf>
    <dxf>
      <font>
        <color theme="4"/>
      </font>
      <fill>
        <patternFill>
          <bgColor theme="2" tint="-0.499984740745262"/>
        </patternFill>
      </fil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dxf>
    <dxf>
      <font>
        <strike val="0"/>
        <outline val="0"/>
        <shadow val="0"/>
        <u val="none"/>
        <vertAlign val="baseline"/>
        <sz val="14"/>
        <color theme="5" tint="-0.249977111117893"/>
        <name val="Calibri"/>
        <family val="2"/>
        <scheme val="minor"/>
      </font>
      <fill>
        <patternFill patternType="solid">
          <fgColor indexed="64"/>
          <bgColor theme="1" tint="0.79998168889431442"/>
        </patternFill>
      </fill>
    </dxf>
    <dxf>
      <font>
        <b val="0"/>
        <i val="0"/>
        <strike val="0"/>
        <condense val="0"/>
        <extend val="0"/>
        <outline val="0"/>
        <shadow val="0"/>
        <u val="none"/>
        <vertAlign val="baseline"/>
        <sz val="14"/>
        <color theme="1"/>
        <name val="Calibri"/>
        <family val="2"/>
        <scheme val="minor"/>
      </font>
      <numFmt numFmtId="13" formatCode="0%"/>
      <fill>
        <patternFill patternType="solid">
          <fgColor indexed="64"/>
          <bgColor theme="0" tint="-4.9989318521683403E-2"/>
        </patternFill>
      </fill>
    </dxf>
    <dxf>
      <font>
        <b val="0"/>
        <i val="0"/>
        <strike val="0"/>
        <condense val="0"/>
        <extend val="0"/>
        <outline val="0"/>
        <shadow val="0"/>
        <u val="none"/>
        <vertAlign val="baseline"/>
        <sz val="14"/>
        <color theme="1"/>
        <name val="Calibri"/>
        <family val="2"/>
        <scheme val="minor"/>
      </font>
      <numFmt numFmtId="13" formatCode="0%"/>
      <fill>
        <patternFill patternType="solid">
          <fgColor indexed="64"/>
          <bgColor theme="0" tint="-4.9989318521683403E-2"/>
        </patternFill>
      </fill>
    </dxf>
    <dxf>
      <font>
        <b val="0"/>
        <i val="0"/>
        <strike val="0"/>
        <condense val="0"/>
        <extend val="0"/>
        <outline val="0"/>
        <shadow val="0"/>
        <u val="none"/>
        <vertAlign val="baseline"/>
        <sz val="14"/>
        <color theme="1"/>
        <name val="Calibri"/>
        <family val="2"/>
        <scheme val="minor"/>
      </font>
      <numFmt numFmtId="1" formatCode="0"/>
      <fill>
        <patternFill patternType="solid">
          <fgColor indexed="64"/>
          <bgColor theme="0" tint="-4.9989318521683403E-2"/>
        </patternFill>
      </fill>
    </dxf>
    <dxf>
      <font>
        <b val="0"/>
        <i val="0"/>
        <strike val="0"/>
        <condense val="0"/>
        <extend val="0"/>
        <outline val="0"/>
        <shadow val="0"/>
        <u val="none"/>
        <vertAlign val="baseline"/>
        <sz val="14"/>
        <color theme="1"/>
        <name val="Calibri"/>
        <family val="2"/>
        <scheme val="minor"/>
      </font>
      <fill>
        <patternFill patternType="solid">
          <fgColor indexed="64"/>
          <bgColor theme="0" tint="-4.9989318521683403E-2"/>
        </patternFill>
      </fill>
    </dxf>
    <dxf>
      <font>
        <b val="0"/>
        <strike val="0"/>
        <outline val="0"/>
        <shadow val="0"/>
        <u val="none"/>
        <vertAlign val="baseline"/>
        <sz val="14"/>
        <color theme="1"/>
        <name val="Calibri"/>
        <family val="2"/>
        <scheme val="minor"/>
      </font>
      <numFmt numFmtId="166" formatCode="_-* #,##0\ [$CHF-100C]_-;\-* #,##0\ [$CHF-100C]_-;_-* &quot;-&quot;??\ [$CHF-100C]_-;_-@_-"/>
    </dxf>
    <dxf>
      <font>
        <b/>
        <strike val="0"/>
        <outline val="0"/>
        <shadow val="0"/>
        <u val="none"/>
        <vertAlign val="baseline"/>
        <sz val="14"/>
        <color theme="5" tint="-0.249977111117893"/>
        <name val="Calibri"/>
        <family val="2"/>
        <scheme val="minor"/>
      </font>
      <numFmt numFmtId="166" formatCode="_-* #,##0\ [$CHF-100C]_-;\-* #,##0\ [$CHF-100C]_-;_-* &quot;-&quot;??\ [$CHF-100C]_-;_-@_-"/>
    </dxf>
    <dxf>
      <font>
        <b val="0"/>
        <strike val="0"/>
        <outline val="0"/>
        <shadow val="0"/>
        <u val="none"/>
        <vertAlign val="baseline"/>
        <sz val="14"/>
        <color theme="1"/>
        <name val="Calibri"/>
        <family val="2"/>
        <scheme val="minor"/>
      </font>
      <numFmt numFmtId="166" formatCode="_-* #,##0\ [$CHF-100C]_-;\-* #,##0\ [$CHF-100C]_-;_-* &quot;-&quot;??\ [$CHF-100C]_-;_-@_-"/>
    </dxf>
    <dxf>
      <font>
        <b/>
        <strike val="0"/>
        <outline val="0"/>
        <shadow val="0"/>
        <u val="none"/>
        <vertAlign val="baseline"/>
        <sz val="14"/>
        <color theme="1" tint="0.39997558519241921"/>
        <name val="Calibri"/>
        <family val="2"/>
        <scheme val="minor"/>
      </font>
      <numFmt numFmtId="166" formatCode="_-* #,##0\ [$CHF-100C]_-;\-* #,##0\ [$CHF-100C]_-;_-* &quot;-&quot;??\ [$CHF-100C]_-;_-@_-"/>
    </dxf>
    <dxf>
      <font>
        <b val="0"/>
        <strike val="0"/>
        <outline val="0"/>
        <shadow val="0"/>
        <u val="none"/>
        <vertAlign val="baseline"/>
        <sz val="14"/>
        <color theme="1"/>
        <name val="Calibri"/>
        <family val="2"/>
        <scheme val="minor"/>
      </font>
      <numFmt numFmtId="166" formatCode="_-* #,##0\ [$CHF-100C]_-;\-* #,##0\ [$CHF-100C]_-;_-* &quot;-&quot;??\ [$CHF-100C]_-;_-@_-"/>
    </dxf>
    <dxf>
      <font>
        <b/>
        <strike val="0"/>
        <outline val="0"/>
        <shadow val="0"/>
        <u val="none"/>
        <vertAlign val="baseline"/>
        <sz val="14"/>
        <color theme="1"/>
        <name val="Calibri"/>
        <family val="2"/>
        <scheme val="minor"/>
      </font>
    </dxf>
    <dxf>
      <font>
        <b val="0"/>
        <strike val="0"/>
        <outline val="0"/>
        <shadow val="0"/>
        <u val="none"/>
        <vertAlign val="baseline"/>
        <sz val="14"/>
        <color theme="1"/>
        <name val="Calibri"/>
        <family val="2"/>
        <scheme val="minor"/>
      </font>
    </dxf>
    <dxf>
      <border outline="0">
        <left style="thick">
          <color theme="4"/>
        </left>
        <right style="thick">
          <color theme="4"/>
        </right>
        <top style="thick">
          <color theme="4"/>
        </top>
        <bottom style="thick">
          <color theme="4"/>
        </bottom>
      </border>
    </dxf>
    <dxf>
      <font>
        <b val="0"/>
        <strike val="0"/>
        <outline val="0"/>
        <shadow val="0"/>
        <u val="none"/>
        <vertAlign val="baseline"/>
        <sz val="14"/>
        <color theme="1"/>
        <name val="Calibri"/>
        <family val="2"/>
        <scheme val="minor"/>
      </font>
    </dxf>
    <dxf>
      <font>
        <b val="0"/>
        <i val="0"/>
        <strike val="0"/>
        <condense val="0"/>
        <extend val="0"/>
        <outline val="0"/>
        <shadow val="0"/>
        <u val="none"/>
        <vertAlign val="baseline"/>
        <sz val="12"/>
        <color theme="1"/>
        <name val="Calibri"/>
        <family val="2"/>
        <scheme val="minor"/>
      </font>
      <numFmt numFmtId="12" formatCode="#,##0.00\ &quot;CHF&quot;;[Red]\-#,##0.0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12" formatCode="#,##0.00\ &quot;CHF&quot;;[Red]\-#,##0.0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 formatCode="0"/>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10" formatCode="#,##0\ &quot;CHF&quot;;[Red]\-#,##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alignment horizontal="lef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dxf>
    <dxf>
      <border outline="0">
        <top style="thin">
          <color indexed="64"/>
        </top>
      </border>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alignment horizontal="right" vertical="center" textRotation="0" wrapText="0" indent="1" justifyLastLine="0" shrinkToFit="0" readingOrder="0"/>
    </dxf>
    <dxf>
      <border outline="0">
        <bottom style="thin">
          <color indexed="64"/>
        </bottom>
      </border>
    </dxf>
    <dxf>
      <border diagonalUp="0" diagonalDown="0" outline="0">
        <left style="thin">
          <color indexed="64"/>
        </left>
        <right style="thin">
          <color indexed="64"/>
        </right>
        <top/>
        <bottom/>
      </border>
    </dxf>
    <dxf>
      <font>
        <strike val="0"/>
        <outline val="0"/>
        <shadow val="0"/>
        <u val="none"/>
        <vertAlign val="baseline"/>
        <sz val="16"/>
        <color theme="1"/>
        <name val="Calibri"/>
        <family val="2"/>
        <scheme val="minor"/>
      </font>
      <alignment horizontal="general" textRotation="0" wrapText="0" indent="0" justifyLastLine="0" shrinkToFit="0" readingOrder="0"/>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numFmt numFmtId="0" formatCode="General"/>
    </dxf>
  </dxfs>
  <tableStyles count="0" defaultTableStyle="TableStyleMedium2" defaultPivotStyle="PivotStyleLight16"/>
  <colors>
    <mruColors>
      <color rgb="FFFFF7E1"/>
      <color rgb="FF50C878"/>
      <color rgb="FFFFCCFF"/>
      <color rgb="FF7E0000"/>
      <color rgb="FF385723"/>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22/10/relationships/richValueRel" Target="richData/richValueRel.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RichValueTypes" Target="richData/rdRichValueTyp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2.xml"/></Relationships>
</file>

<file path=xl/ctrlProps/ctrlProp1.xml><?xml version="1.0" encoding="utf-8"?>
<formControlPr xmlns="http://schemas.microsoft.com/office/spreadsheetml/2009/9/main" objectType="Radio" checked="Checked" firstButton="1" fmlaLink="TRAD!$C$4"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Drop" dropStyle="combo" dx="22" fmlaLink="TRAD!$C$4" fmlaRange="TRAD!$C$7:$C$8" noThreeD="1" sel="1" val="0"/>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533400</xdr:colOff>
          <xdr:row>0</xdr:row>
          <xdr:rowOff>160020</xdr:rowOff>
        </xdr:from>
        <xdr:to>
          <xdr:col>1</xdr:col>
          <xdr:colOff>1638300</xdr:colOff>
          <xdr:row>3</xdr:row>
          <xdr:rowOff>144780</xdr:rowOff>
        </xdr:to>
        <xdr:sp macro="" textlink="">
          <xdr:nvSpPr>
            <xdr:cNvPr id="47105" name="Option Button 1" hidden="1">
              <a:extLst>
                <a:ext uri="{63B3BB69-23CF-44E3-9099-C40C66FF867C}">
                  <a14:compatExt spid="_x0000_s47105"/>
                </a:ext>
                <a:ext uri="{FF2B5EF4-FFF2-40B4-BE49-F238E27FC236}">
                  <a16:creationId xmlns:a16="http://schemas.microsoft.com/office/drawing/2014/main" id="{00000000-0008-0000-0100-000001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3</xdr:row>
          <xdr:rowOff>114300</xdr:rowOff>
        </xdr:from>
        <xdr:to>
          <xdr:col>1</xdr:col>
          <xdr:colOff>1333500</xdr:colOff>
          <xdr:row>5</xdr:row>
          <xdr:rowOff>121920</xdr:rowOff>
        </xdr:to>
        <xdr:sp macro="" textlink="">
          <xdr:nvSpPr>
            <xdr:cNvPr id="47106" name="Option Button 2" hidden="1">
              <a:extLst>
                <a:ext uri="{63B3BB69-23CF-44E3-9099-C40C66FF867C}">
                  <a14:compatExt spid="_x0000_s47106"/>
                </a:ext>
                <a:ext uri="{FF2B5EF4-FFF2-40B4-BE49-F238E27FC236}">
                  <a16:creationId xmlns:a16="http://schemas.microsoft.com/office/drawing/2014/main" id="{00000000-0008-0000-0100-000002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6</xdr:col>
      <xdr:colOff>261170</xdr:colOff>
      <xdr:row>0</xdr:row>
      <xdr:rowOff>156189</xdr:rowOff>
    </xdr:from>
    <xdr:to>
      <xdr:col>9</xdr:col>
      <xdr:colOff>348149</xdr:colOff>
      <xdr:row>2</xdr:row>
      <xdr:rowOff>184216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5745726" y="156189"/>
          <a:ext cx="1907483" cy="458188"/>
        </a:xfrm>
        <a:prstGeom prst="rect">
          <a:avLst/>
        </a:prstGeom>
      </xdr:spPr>
    </xdr:pic>
    <xdr:clientData/>
  </xdr:twoCellAnchor>
  <xdr:twoCellAnchor>
    <xdr:from>
      <xdr:col>7</xdr:col>
      <xdr:colOff>523736</xdr:colOff>
      <xdr:row>4</xdr:row>
      <xdr:rowOff>66484</xdr:rowOff>
    </xdr:from>
    <xdr:to>
      <xdr:col>11</xdr:col>
      <xdr:colOff>38099</xdr:colOff>
      <xdr:row>16</xdr:row>
      <xdr:rowOff>53340</xdr:rowOff>
    </xdr:to>
    <xdr:grpSp>
      <xdr:nvGrpSpPr>
        <xdr:cNvPr id="14" name="Group 13">
          <a:extLst>
            <a:ext uri="{FF2B5EF4-FFF2-40B4-BE49-F238E27FC236}">
              <a16:creationId xmlns:a16="http://schemas.microsoft.com/office/drawing/2014/main" id="{00000000-0008-0000-0000-00000E000000}"/>
            </a:ext>
          </a:extLst>
        </xdr:cNvPr>
        <xdr:cNvGrpSpPr/>
      </xdr:nvGrpSpPr>
      <xdr:grpSpPr>
        <a:xfrm>
          <a:off x="6817856" y="978979"/>
          <a:ext cx="2030868" cy="2164271"/>
          <a:chOff x="4117732" y="1482606"/>
          <a:chExt cx="1367936" cy="1572721"/>
        </a:xfrm>
      </xdr:grpSpPr>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03473" y="1941635"/>
            <a:ext cx="1196467" cy="111369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 name="Picture 12" descr="Download Office 365 Logo in SVG Vector or PNG File Format - Logo.wine">
            <a:extLst>
              <a:ext uri="{FF2B5EF4-FFF2-40B4-BE49-F238E27FC236}">
                <a16:creationId xmlns:a16="http://schemas.microsoft.com/office/drawing/2014/main" id="{00000000-0008-0000-0000-00000D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8415" b="33880"/>
          <a:stretch/>
        </xdr:blipFill>
        <xdr:spPr bwMode="auto">
          <a:xfrm>
            <a:off x="4117732" y="1482606"/>
            <a:ext cx="1367936" cy="34399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mc:AlternateContent xmlns:mc="http://schemas.openxmlformats.org/markup-compatibility/2006">
    <mc:Choice xmlns:a14="http://schemas.microsoft.com/office/drawing/2010/main" Requires="a14">
      <xdr:twoCellAnchor editAs="oneCell">
        <xdr:from>
          <xdr:col>1</xdr:col>
          <xdr:colOff>45720</xdr:colOff>
          <xdr:row>0</xdr:row>
          <xdr:rowOff>45720</xdr:rowOff>
        </xdr:from>
        <xdr:to>
          <xdr:col>1</xdr:col>
          <xdr:colOff>1714500</xdr:colOff>
          <xdr:row>1</xdr:row>
          <xdr:rowOff>144780</xdr:rowOff>
        </xdr:to>
        <xdr:sp macro="" textlink="">
          <xdr:nvSpPr>
            <xdr:cNvPr id="18441" name="Drop Down 9" hidden="1">
              <a:extLst>
                <a:ext uri="{63B3BB69-23CF-44E3-9099-C40C66FF867C}">
                  <a14:compatExt spid="_x0000_s18441"/>
                </a:ext>
                <a:ext uri="{FF2B5EF4-FFF2-40B4-BE49-F238E27FC236}">
                  <a16:creationId xmlns:a16="http://schemas.microsoft.com/office/drawing/2014/main" id="{00000000-0008-0000-0300-0000094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9</xdr:col>
      <xdr:colOff>57150</xdr:colOff>
      <xdr:row>6</xdr:row>
      <xdr:rowOff>95250</xdr:rowOff>
    </xdr:from>
    <xdr:to>
      <xdr:col>9</xdr:col>
      <xdr:colOff>668655</xdr:colOff>
      <xdr:row>9</xdr:row>
      <xdr:rowOff>190500</xdr:rowOff>
    </xdr:to>
    <xdr:pic>
      <xdr:nvPicPr>
        <xdr:cNvPr id="3" name="Graphique 2" descr="Flèche vers la droite avec un remplissage uni">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810500" y="1590675"/>
          <a:ext cx="619125" cy="733425"/>
        </a:xfrm>
        <a:prstGeom prst="rect">
          <a:avLst/>
        </a:prstGeom>
      </xdr:spPr>
    </xdr:pic>
    <xdr:clientData/>
  </xdr:twoCellAnchor>
  <xdr:twoCellAnchor editAs="oneCell">
    <xdr:from>
      <xdr:col>9</xdr:col>
      <xdr:colOff>85725</xdr:colOff>
      <xdr:row>27</xdr:row>
      <xdr:rowOff>104775</xdr:rowOff>
    </xdr:from>
    <xdr:to>
      <xdr:col>9</xdr:col>
      <xdr:colOff>701040</xdr:colOff>
      <xdr:row>30</xdr:row>
      <xdr:rowOff>97155</xdr:rowOff>
    </xdr:to>
    <xdr:pic>
      <xdr:nvPicPr>
        <xdr:cNvPr id="5" name="Graphique 4" descr="Flèche vers la droite avec un remplissage uni">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724775" y="5667375"/>
          <a:ext cx="619125" cy="619125"/>
        </a:xfrm>
        <a:prstGeom prst="rect">
          <a:avLst/>
        </a:prstGeom>
      </xdr:spPr>
    </xdr:pic>
    <xdr:clientData/>
  </xdr:twoCellAnchor>
  <xdr:twoCellAnchor>
    <xdr:from>
      <xdr:col>0</xdr:col>
      <xdr:colOff>619125</xdr:colOff>
      <xdr:row>82</xdr:row>
      <xdr:rowOff>85725</xdr:rowOff>
    </xdr:from>
    <xdr:to>
      <xdr:col>2</xdr:col>
      <xdr:colOff>981075</xdr:colOff>
      <xdr:row>84</xdr:row>
      <xdr:rowOff>76200</xdr:rowOff>
    </xdr:to>
    <xdr:sp macro="" textlink="">
      <xdr:nvSpPr>
        <xdr:cNvPr id="4" name="Légende : flèche courbée à une bordure 3">
          <a:extLst>
            <a:ext uri="{FF2B5EF4-FFF2-40B4-BE49-F238E27FC236}">
              <a16:creationId xmlns:a16="http://schemas.microsoft.com/office/drawing/2014/main" id="{DE8A51A7-89FB-B59A-2E6D-A537B1CA0B97}"/>
            </a:ext>
          </a:extLst>
        </xdr:cNvPr>
        <xdr:cNvSpPr/>
      </xdr:nvSpPr>
      <xdr:spPr>
        <a:xfrm flipH="1">
          <a:off x="619125" y="17249775"/>
          <a:ext cx="2152650" cy="371475"/>
        </a:xfrm>
        <a:prstGeom prst="accentCallout2">
          <a:avLst>
            <a:gd name="adj1" fmla="val 18750"/>
            <a:gd name="adj2" fmla="val -8333"/>
            <a:gd name="adj3" fmla="val 18750"/>
            <a:gd name="adj4" fmla="val -16667"/>
            <a:gd name="adj5" fmla="val -156731"/>
            <a:gd name="adj6" fmla="val -34278"/>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400"/>
            <a:t>nom</a:t>
          </a:r>
          <a:r>
            <a:rPr lang="en-US" sz="1400" baseline="0"/>
            <a:t> de la table : tbl_filtre</a:t>
          </a:r>
          <a:endParaRPr lang="en-US" sz="1400"/>
        </a:p>
      </xdr:txBody>
    </xdr:sp>
    <xdr:clientData/>
  </xdr:twoCellAnchor>
  <xdr:twoCellAnchor>
    <xdr:from>
      <xdr:col>18</xdr:col>
      <xdr:colOff>11430</xdr:colOff>
      <xdr:row>10</xdr:row>
      <xdr:rowOff>20955</xdr:rowOff>
    </xdr:from>
    <xdr:to>
      <xdr:col>26</xdr:col>
      <xdr:colOff>506730</xdr:colOff>
      <xdr:row>27</xdr:row>
      <xdr:rowOff>226695</xdr:rowOff>
    </xdr:to>
    <xdr:sp macro="" textlink="">
      <xdr:nvSpPr>
        <xdr:cNvPr id="2" name="TextBox 1">
          <a:extLst>
            <a:ext uri="{FF2B5EF4-FFF2-40B4-BE49-F238E27FC236}">
              <a16:creationId xmlns:a16="http://schemas.microsoft.com/office/drawing/2014/main" id="{DB8DB176-9C86-2569-E1D6-CB2E8F16797A}"/>
            </a:ext>
          </a:extLst>
        </xdr:cNvPr>
        <xdr:cNvSpPr txBox="1"/>
      </xdr:nvSpPr>
      <xdr:spPr>
        <a:xfrm>
          <a:off x="15565755" y="2259330"/>
          <a:ext cx="5772150" cy="3568065"/>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A. Using the FILTER() function, display the basic table filtered by department mentioned in K5.</a:t>
          </a:r>
        </a:p>
        <a:p>
          <a:pPr marL="0" marR="0" lvl="0" indent="0" defTabSz="914400" rtl="0" eaLnBrk="1" fontAlgn="auto" latinLnBrk="0" hangingPunct="1">
            <a:lnSpc>
              <a:spcPct val="100000"/>
            </a:lnSpc>
            <a:spcBef>
              <a:spcPts val="0"/>
            </a:spcBef>
            <a:spcAft>
              <a:spcPts val="0"/>
            </a:spcAft>
            <a:buClrTx/>
            <a:buSzTx/>
            <a:buFontTx/>
            <a:buNone/>
            <a:tabLst/>
            <a:defRPr/>
          </a:pPr>
          <a:br>
            <a:rPr lang="en-US" sz="1600">
              <a:solidFill>
                <a:schemeClr val="dk1"/>
              </a:solidFill>
              <a:effectLst/>
              <a:latin typeface="+mn-lt"/>
              <a:ea typeface="+mn-ea"/>
              <a:cs typeface="+mn-cs"/>
            </a:rPr>
          </a:br>
          <a:r>
            <a:rPr lang="en-US" sz="1600">
              <a:solidFill>
                <a:schemeClr val="dk1"/>
              </a:solidFill>
              <a:effectLst/>
              <a:latin typeface="+mn-lt"/>
              <a:ea typeface="+mn-ea"/>
              <a:cs typeface="+mn-cs"/>
            </a:rPr>
            <a:t>B. Create a second table filtered by the department in K5</a:t>
          </a:r>
          <a:r>
            <a:rPr lang="en-US" sz="1600" baseline="0">
              <a:solidFill>
                <a:schemeClr val="dk1"/>
              </a:solidFill>
              <a:effectLst/>
              <a:latin typeface="+mn-lt"/>
              <a:ea typeface="+mn-ea"/>
              <a:cs typeface="+mn-cs"/>
            </a:rPr>
            <a:t> </a:t>
          </a:r>
          <a:r>
            <a:rPr lang="en-US" sz="1600">
              <a:solidFill>
                <a:schemeClr val="dk1"/>
              </a:solidFill>
              <a:effectLst/>
              <a:latin typeface="+mn-lt"/>
              <a:ea typeface="+mn-ea"/>
              <a:cs typeface="+mn-cs"/>
            </a:rPr>
            <a:t>where the salary is greater than 10K.</a:t>
          </a:r>
        </a:p>
        <a:p>
          <a:pPr marL="0" marR="0" lvl="0" indent="0" defTabSz="914400" rtl="0" eaLnBrk="1" fontAlgn="auto" latinLnBrk="0" hangingPunct="1">
            <a:lnSpc>
              <a:spcPct val="100000"/>
            </a:lnSpc>
            <a:spcBef>
              <a:spcPts val="0"/>
            </a:spcBef>
            <a:spcAft>
              <a:spcPts val="0"/>
            </a:spcAft>
            <a:buClrTx/>
            <a:buSzTx/>
            <a:buFontTx/>
            <a:buNone/>
            <a:tabLst/>
            <a:defRPr/>
          </a:pPr>
          <a:br>
            <a:rPr lang="en-US" sz="1600">
              <a:solidFill>
                <a:schemeClr val="dk1"/>
              </a:solidFill>
              <a:effectLst/>
              <a:latin typeface="+mn-lt"/>
              <a:ea typeface="+mn-ea"/>
              <a:cs typeface="+mn-cs"/>
            </a:rPr>
          </a:br>
          <a:r>
            <a:rPr lang="en-US" sz="1600">
              <a:solidFill>
                <a:schemeClr val="dk1"/>
              </a:solidFill>
              <a:effectLst/>
              <a:latin typeface="+mn-lt"/>
              <a:ea typeface="+mn-ea"/>
              <a:cs typeface="+mn-cs"/>
            </a:rPr>
            <a:t>C. Filter the table by keeping only the name, birth, gender and status columns.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6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D. Filter</a:t>
          </a:r>
          <a:r>
            <a:rPr lang="en-US" sz="1600" baseline="0">
              <a:solidFill>
                <a:schemeClr val="dk1"/>
              </a:solidFill>
              <a:effectLst/>
              <a:latin typeface="+mn-lt"/>
              <a:ea typeface="+mn-ea"/>
              <a:cs typeface="+mn-cs"/>
            </a:rPr>
            <a:t> the same columns from t</a:t>
          </a:r>
          <a:r>
            <a:rPr lang="en-US" sz="1600">
              <a:solidFill>
                <a:schemeClr val="dk1"/>
              </a:solidFill>
              <a:effectLst/>
              <a:latin typeface="+mn-lt"/>
              <a:ea typeface="+mn-ea"/>
              <a:cs typeface="+mn-cs"/>
            </a:rPr>
            <a:t>he results</a:t>
          </a:r>
          <a:r>
            <a:rPr lang="en-US" sz="1600" baseline="0">
              <a:solidFill>
                <a:schemeClr val="dk1"/>
              </a:solidFill>
              <a:effectLst/>
              <a:latin typeface="+mn-lt"/>
              <a:ea typeface="+mn-ea"/>
              <a:cs typeface="+mn-cs"/>
            </a:rPr>
            <a:t> of the Filter function defined in A.</a:t>
          </a:r>
          <a:endParaRPr lang="en-US" sz="16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6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E. Find the same result as in d using two nested filters.</a:t>
          </a:r>
          <a:endParaRPr lang="fr-FR" sz="1600">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1384934</xdr:colOff>
      <xdr:row>27</xdr:row>
      <xdr:rowOff>19050</xdr:rowOff>
    </xdr:from>
    <xdr:to>
      <xdr:col>16</xdr:col>
      <xdr:colOff>331469</xdr:colOff>
      <xdr:row>39</xdr:row>
      <xdr:rowOff>76200</xdr:rowOff>
    </xdr:to>
    <xdr:sp macro="" textlink="">
      <xdr:nvSpPr>
        <xdr:cNvPr id="2" name="TextBox 1">
          <a:extLst>
            <a:ext uri="{FF2B5EF4-FFF2-40B4-BE49-F238E27FC236}">
              <a16:creationId xmlns:a16="http://schemas.microsoft.com/office/drawing/2014/main" id="{FB1EF316-CD83-B2CD-30ED-40457688F4C9}"/>
            </a:ext>
          </a:extLst>
        </xdr:cNvPr>
        <xdr:cNvSpPr txBox="1"/>
      </xdr:nvSpPr>
      <xdr:spPr>
        <a:xfrm>
          <a:off x="9243059" y="5419725"/>
          <a:ext cx="6528435" cy="2295525"/>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A. Use the SORT() function to display the basic table sorted by the [salary] column in ascending order. </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1">
              <a:solidFill>
                <a:schemeClr val="dk1"/>
              </a:solidFill>
              <a:effectLst/>
              <a:latin typeface="+mn-lt"/>
              <a:ea typeface="+mn-ea"/>
              <a:cs typeface="+mn-cs"/>
            </a:rPr>
          </a:br>
          <a:r>
            <a:rPr lang="en-US" sz="1400" b="1">
              <a:solidFill>
                <a:schemeClr val="dk1"/>
              </a:solidFill>
              <a:effectLst/>
              <a:latin typeface="+mn-lt"/>
              <a:ea typeface="+mn-ea"/>
              <a:cs typeface="+mn-cs"/>
            </a:rPr>
            <a:t>B. Create a second table sorted by [department] and then by [employee]. Use SORTBY().</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1">
              <a:solidFill>
                <a:schemeClr val="dk1"/>
              </a:solidFill>
              <a:effectLst/>
              <a:latin typeface="+mn-lt"/>
              <a:ea typeface="+mn-ea"/>
              <a:cs typeface="+mn-cs"/>
            </a:rPr>
          </a:br>
          <a:r>
            <a:rPr lang="en-US" sz="1400" b="1">
              <a:solidFill>
                <a:schemeClr val="dk1"/>
              </a:solidFill>
              <a:effectLst/>
              <a:latin typeface="+mn-lt"/>
              <a:ea typeface="+mn-ea"/>
              <a:cs typeface="+mn-cs"/>
            </a:rPr>
            <a:t>C. Combine FILTER() and SORT() to get the following  filtered table: the department must be equal to cell K5 of the 'FILTER' sheet AND the salary must be greater than 6000. Sort the result in descending order on salary.</a:t>
          </a:r>
          <a:endParaRPr lang="fr-FR" sz="1400" b="1">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336178</xdr:colOff>
      <xdr:row>5</xdr:row>
      <xdr:rowOff>241039</xdr:rowOff>
    </xdr:from>
    <xdr:to>
      <xdr:col>19</xdr:col>
      <xdr:colOff>571501</xdr:colOff>
      <xdr:row>19</xdr:row>
      <xdr:rowOff>97043</xdr:rowOff>
    </xdr:to>
    <xdr:sp macro="" textlink="">
      <xdr:nvSpPr>
        <xdr:cNvPr id="2" name="TextBox 1">
          <a:extLst>
            <a:ext uri="{FF2B5EF4-FFF2-40B4-BE49-F238E27FC236}">
              <a16:creationId xmlns:a16="http://schemas.microsoft.com/office/drawing/2014/main" id="{B0D45346-5E71-30B0-BB49-2D8F77CB2EFB}"/>
            </a:ext>
          </a:extLst>
        </xdr:cNvPr>
        <xdr:cNvSpPr txBox="1"/>
      </xdr:nvSpPr>
      <xdr:spPr>
        <a:xfrm>
          <a:off x="15284825" y="1484892"/>
          <a:ext cx="5289176" cy="3800475"/>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US" sz="1400" b="1">
              <a:solidFill>
                <a:schemeClr val="dk1"/>
              </a:solidFill>
              <a:effectLst/>
              <a:latin typeface="+mn-lt"/>
              <a:ea typeface="+mn-ea"/>
              <a:cs typeface="+mn-cs"/>
            </a:rPr>
            <a:t>A. Use the INDEX() function to display in F8 the data located in the row and column indicated by G4 and G5.</a:t>
          </a:r>
        </a:p>
        <a:p>
          <a:pPr rtl="0" eaLnBrk="1" latinLnBrk="0" hangingPunct="1"/>
          <a:br>
            <a:rPr lang="en-US" sz="1400" b="1">
              <a:solidFill>
                <a:schemeClr val="dk1"/>
              </a:solidFill>
              <a:effectLst/>
              <a:latin typeface="+mn-lt"/>
              <a:ea typeface="+mn-ea"/>
              <a:cs typeface="+mn-cs"/>
            </a:rPr>
          </a:br>
          <a:r>
            <a:rPr lang="en-US" sz="1400" b="1">
              <a:solidFill>
                <a:schemeClr val="dk1"/>
              </a:solidFill>
              <a:effectLst/>
              <a:latin typeface="+mn-lt"/>
              <a:ea typeface="+mn-ea"/>
              <a:cs typeface="+mn-cs"/>
            </a:rPr>
            <a:t>B. Using XMATCH(), find the column corresponding to the column title selected in G12.</a:t>
          </a:r>
        </a:p>
        <a:p>
          <a:pPr rtl="0" eaLnBrk="1" latinLnBrk="0" hangingPunct="1"/>
          <a:endParaRPr lang="fr-FR" sz="1400" b="1">
            <a:effectLst/>
          </a:endParaRPr>
        </a:p>
        <a:p>
          <a:r>
            <a:rPr lang="en-US" sz="1400" b="1">
              <a:solidFill>
                <a:schemeClr val="dk1"/>
              </a:solidFill>
              <a:effectLst/>
              <a:latin typeface="+mn-lt"/>
              <a:ea typeface="+mn-ea"/>
              <a:cs typeface="+mn-cs"/>
            </a:rPr>
            <a:t>C. Use XMATCH() to display the line number of "Paul Klee".</a:t>
          </a:r>
        </a:p>
        <a:p>
          <a:endParaRPr lang="en-US" sz="1400" b="1">
            <a:solidFill>
              <a:schemeClr val="dk1"/>
            </a:solidFill>
            <a:effectLst/>
            <a:latin typeface="+mn-lt"/>
            <a:ea typeface="+mn-ea"/>
            <a:cs typeface="+mn-cs"/>
          </a:endParaRPr>
        </a:p>
        <a:p>
          <a:r>
            <a:rPr lang="en-US" sz="1400" b="1">
              <a:solidFill>
                <a:schemeClr val="dk1"/>
              </a:solidFill>
              <a:effectLst/>
              <a:latin typeface="+mn-lt"/>
              <a:ea typeface="+mn-ea"/>
              <a:cs typeface="+mn-cs"/>
            </a:rPr>
            <a:t>D. Using Offset(),</a:t>
          </a:r>
          <a:r>
            <a:rPr lang="en-US" sz="1400" b="1" baseline="0">
              <a:solidFill>
                <a:schemeClr val="dk1"/>
              </a:solidFill>
              <a:effectLst/>
              <a:latin typeface="+mn-lt"/>
              <a:ea typeface="+mn-ea"/>
              <a:cs typeface="+mn-cs"/>
            </a:rPr>
            <a:t> find the the category for the row 'Paul Klee' given in F16.</a:t>
          </a:r>
        </a:p>
        <a:p>
          <a:endParaRPr lang="en-US" sz="1400" b="1" baseline="0">
            <a:solidFill>
              <a:schemeClr val="dk1"/>
            </a:solidFill>
            <a:effectLst/>
            <a:latin typeface="+mn-lt"/>
            <a:ea typeface="+mn-ea"/>
            <a:cs typeface="+mn-cs"/>
          </a:endParaRPr>
        </a:p>
        <a:p>
          <a:r>
            <a:rPr lang="en-US" sz="1400" b="1" baseline="0">
              <a:solidFill>
                <a:schemeClr val="dk1"/>
              </a:solidFill>
              <a:effectLst/>
              <a:latin typeface="+mn-lt"/>
              <a:ea typeface="+mn-ea"/>
              <a:cs typeface="+mn-cs"/>
            </a:rPr>
            <a:t>E. Return 3 rows and 2 columns from the resulting cell found in D.</a:t>
          </a:r>
        </a:p>
        <a:p>
          <a:endParaRPr lang="en-US" sz="1400" b="1" baseline="0">
            <a:solidFill>
              <a:schemeClr val="dk1"/>
            </a:solidFill>
            <a:effectLst/>
            <a:latin typeface="+mn-lt"/>
            <a:ea typeface="+mn-ea"/>
            <a:cs typeface="+mn-cs"/>
          </a:endParaRPr>
        </a:p>
        <a:p>
          <a:r>
            <a:rPr lang="en-US" sz="1400" b="1" baseline="0">
              <a:solidFill>
                <a:schemeClr val="dk1"/>
              </a:solidFill>
              <a:effectLst/>
              <a:latin typeface="+mn-lt"/>
              <a:ea typeface="+mn-ea"/>
              <a:cs typeface="+mn-cs"/>
            </a:rPr>
            <a:t>F. Use Offset in the reverse order for selecting the last 2 rows at the end from the cell D34.</a:t>
          </a:r>
        </a:p>
        <a:p>
          <a:endParaRPr lang="en-US" sz="1400" b="1" baseline="0">
            <a:solidFill>
              <a:schemeClr val="dk1"/>
            </a:solidFill>
            <a:effectLst/>
            <a:latin typeface="+mn-lt"/>
            <a:ea typeface="+mn-ea"/>
            <a:cs typeface="+mn-cs"/>
          </a:endParaRPr>
        </a:p>
        <a:p>
          <a:endParaRPr lang="fr-FR" sz="1400" b="1"/>
        </a:p>
      </xdr:txBody>
    </xdr:sp>
    <xdr:clientData/>
  </xdr:twoCellAnchor>
  <xdr:twoCellAnchor>
    <xdr:from>
      <xdr:col>10</xdr:col>
      <xdr:colOff>1047638</xdr:colOff>
      <xdr:row>20</xdr:row>
      <xdr:rowOff>46729</xdr:rowOff>
    </xdr:from>
    <xdr:to>
      <xdr:col>19</xdr:col>
      <xdr:colOff>616323</xdr:colOff>
      <xdr:row>31</xdr:row>
      <xdr:rowOff>59839</xdr:rowOff>
    </xdr:to>
    <xdr:sp macro="" textlink="">
      <xdr:nvSpPr>
        <xdr:cNvPr id="3" name="TextBox 2">
          <a:extLst>
            <a:ext uri="{FF2B5EF4-FFF2-40B4-BE49-F238E27FC236}">
              <a16:creationId xmlns:a16="http://schemas.microsoft.com/office/drawing/2014/main" id="{F912816B-120D-4CF4-B840-7CFF1071EFE6}"/>
            </a:ext>
          </a:extLst>
        </xdr:cNvPr>
        <xdr:cNvSpPr txBox="1"/>
      </xdr:nvSpPr>
      <xdr:spPr>
        <a:xfrm>
          <a:off x="14752432" y="5526405"/>
          <a:ext cx="5866391" cy="3217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US" sz="1400" b="1" i="0">
              <a:solidFill>
                <a:schemeClr val="dk1"/>
              </a:solidFill>
              <a:effectLst/>
              <a:latin typeface="+mn-lt"/>
              <a:ea typeface="+mn-ea"/>
              <a:cs typeface="+mn-cs"/>
            </a:rPr>
            <a:t>XMATCH(lookup_value, lookup_array, [match_mode], [search_mode])</a:t>
          </a:r>
          <a:endParaRPr lang="fr-FR" sz="1400">
            <a:effectLst/>
          </a:endParaRPr>
        </a:p>
        <a:p>
          <a:pPr rtl="0" eaLnBrk="1" latinLnBrk="0" hangingPunct="1"/>
          <a:endParaRPr lang="en-US" sz="1400" b="1">
            <a:solidFill>
              <a:schemeClr val="dk1"/>
            </a:solidFill>
            <a:effectLst/>
            <a:latin typeface="+mn-lt"/>
            <a:ea typeface="+mn-ea"/>
            <a:cs typeface="+mn-cs"/>
          </a:endParaRPr>
        </a:p>
        <a:p>
          <a:pPr rtl="0" eaLnBrk="1" latinLnBrk="0" hangingPunct="1"/>
          <a:r>
            <a:rPr lang="en-US" sz="1400" b="1">
              <a:solidFill>
                <a:schemeClr val="dk1"/>
              </a:solidFill>
              <a:effectLst/>
              <a:latin typeface="+mn-lt"/>
              <a:ea typeface="+mn-ea"/>
              <a:cs typeface="+mn-cs"/>
            </a:rPr>
            <a:t>match_mode:		</a:t>
          </a:r>
          <a:br>
            <a:rPr lang="en-US" sz="1400" b="1">
              <a:solidFill>
                <a:schemeClr val="dk1"/>
              </a:solidFill>
              <a:effectLst/>
              <a:latin typeface="+mn-lt"/>
              <a:ea typeface="+mn-ea"/>
              <a:cs typeface="+mn-cs"/>
            </a:rPr>
          </a:br>
          <a:r>
            <a:rPr lang="en-US" sz="1400" b="1">
              <a:solidFill>
                <a:schemeClr val="dk1"/>
              </a:solidFill>
              <a:effectLst/>
              <a:latin typeface="+mn-lt"/>
              <a:ea typeface="+mn-ea"/>
              <a:cs typeface="+mn-cs"/>
            </a:rPr>
            <a:t>0  = Exact match (default)</a:t>
          </a:r>
        </a:p>
        <a:p>
          <a:pPr rtl="0" eaLnBrk="1" latinLnBrk="0" hangingPunct="1"/>
          <a:r>
            <a:rPr lang="en-US" sz="1400" b="1">
              <a:solidFill>
                <a:schemeClr val="dk1"/>
              </a:solidFill>
              <a:effectLst/>
              <a:latin typeface="+mn-lt"/>
              <a:ea typeface="+mn-ea"/>
              <a:cs typeface="+mn-cs"/>
            </a:rPr>
            <a:t>-1 = From last to 1</a:t>
          </a:r>
          <a:r>
            <a:rPr lang="en-US" sz="1400" b="1" baseline="30000">
              <a:solidFill>
                <a:schemeClr val="dk1"/>
              </a:solidFill>
              <a:effectLst/>
              <a:latin typeface="+mn-lt"/>
              <a:ea typeface="+mn-ea"/>
              <a:cs typeface="+mn-cs"/>
            </a:rPr>
            <a:t>st</a:t>
          </a:r>
          <a:r>
            <a:rPr lang="en-US" sz="1400" b="1">
              <a:solidFill>
                <a:schemeClr val="dk1"/>
              </a:solidFill>
              <a:effectLst/>
              <a:latin typeface="+mn-lt"/>
              <a:ea typeface="+mn-ea"/>
              <a:cs typeface="+mn-cs"/>
            </a:rPr>
            <a:t> (reverse)</a:t>
          </a:r>
          <a:endParaRPr lang="fr-FR" sz="1400">
            <a:effectLst/>
          </a:endParaRPr>
        </a:p>
        <a:p>
          <a:pPr rtl="0" eaLnBrk="1" latinLnBrk="0" hangingPunct="1"/>
          <a:r>
            <a:rPr lang="en-US" sz="1400" b="1">
              <a:solidFill>
                <a:schemeClr val="dk1"/>
              </a:solidFill>
              <a:effectLst/>
              <a:latin typeface="+mn-lt"/>
              <a:ea typeface="+mn-ea"/>
              <a:cs typeface="+mn-cs"/>
            </a:rPr>
            <a:t>1 = Exact or next larger</a:t>
          </a:r>
          <a:endParaRPr lang="fr-FR" sz="1400">
            <a:effectLst/>
          </a:endParaRPr>
        </a:p>
        <a:p>
          <a:pPr rtl="0" eaLnBrk="1" latinLnBrk="0" hangingPunct="1"/>
          <a:r>
            <a:rPr lang="en-US" sz="1400" b="1">
              <a:solidFill>
                <a:schemeClr val="dk1"/>
              </a:solidFill>
              <a:effectLst/>
              <a:latin typeface="+mn-lt"/>
              <a:ea typeface="+mn-ea"/>
              <a:cs typeface="+mn-cs"/>
            </a:rPr>
            <a:t>2 = Wildcard match (for text)</a:t>
          </a:r>
          <a:endParaRPr lang="fr-FR" sz="1400">
            <a:effectLst/>
          </a:endParaRPr>
        </a:p>
        <a:p>
          <a:endParaRPr lang="fr-FR" sz="1400"/>
        </a:p>
        <a:p>
          <a:r>
            <a:rPr lang="en-US" sz="1400" b="1">
              <a:solidFill>
                <a:schemeClr val="dk1"/>
              </a:solidFill>
              <a:effectLst/>
              <a:latin typeface="+mn-lt"/>
              <a:ea typeface="+mn-ea"/>
              <a:cs typeface="+mn-cs"/>
            </a:rPr>
            <a:t>search_mode:</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1 = From 1</a:t>
          </a:r>
          <a:r>
            <a:rPr lang="en-US" sz="1400" b="1" baseline="30000">
              <a:solidFill>
                <a:schemeClr val="dk1"/>
              </a:solidFill>
              <a:effectLst/>
              <a:latin typeface="+mn-lt"/>
              <a:ea typeface="+mn-ea"/>
              <a:cs typeface="+mn-cs"/>
            </a:rPr>
            <a:t>st</a:t>
          </a:r>
          <a:r>
            <a:rPr lang="en-US" sz="1400" b="1">
              <a:solidFill>
                <a:schemeClr val="dk1"/>
              </a:solidFill>
              <a:effectLst/>
              <a:latin typeface="+mn-lt"/>
              <a:ea typeface="+mn-ea"/>
              <a:cs typeface="+mn-cs"/>
            </a:rPr>
            <a:t> to last (default)</a:t>
          </a:r>
          <a:endParaRPr lang="fr-FR" sz="1400">
            <a:effectLst/>
          </a:endParaRPr>
        </a:p>
        <a:p>
          <a:r>
            <a:rPr lang="en-US" sz="1400" b="1">
              <a:solidFill>
                <a:schemeClr val="dk1"/>
              </a:solidFill>
              <a:effectLst/>
              <a:latin typeface="+mn-lt"/>
              <a:ea typeface="+mn-ea"/>
              <a:cs typeface="+mn-cs"/>
            </a:rPr>
            <a:t>-1 = Exact or next smaller</a:t>
          </a:r>
          <a:endParaRPr lang="fr-FR" sz="14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923925</xdr:colOff>
      <xdr:row>4</xdr:row>
      <xdr:rowOff>95250</xdr:rowOff>
    </xdr:from>
    <xdr:to>
      <xdr:col>19</xdr:col>
      <xdr:colOff>647700</xdr:colOff>
      <xdr:row>12</xdr:row>
      <xdr:rowOff>276225</xdr:rowOff>
    </xdr:to>
    <xdr:sp macro="" textlink="">
      <xdr:nvSpPr>
        <xdr:cNvPr id="2" name="TextBox 1">
          <a:extLst>
            <a:ext uri="{FF2B5EF4-FFF2-40B4-BE49-F238E27FC236}">
              <a16:creationId xmlns:a16="http://schemas.microsoft.com/office/drawing/2014/main" id="{45844764-AAB6-4AD8-08BB-2302E8921E68}"/>
            </a:ext>
          </a:extLst>
        </xdr:cNvPr>
        <xdr:cNvSpPr txBox="1"/>
      </xdr:nvSpPr>
      <xdr:spPr>
        <a:xfrm>
          <a:off x="14487525" y="1085850"/>
          <a:ext cx="5153025" cy="2286000"/>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A. Use VLOOKUP() to display the display name in the list starting with the text in K3.</a:t>
          </a:r>
        </a:p>
        <a:p>
          <a:pPr marL="0" marR="0" lvl="0" indent="0" defTabSz="914400" rtl="0" eaLnBrk="1" fontAlgn="auto" latinLnBrk="0" hangingPunct="1">
            <a:lnSpc>
              <a:spcPct val="100000"/>
            </a:lnSpc>
            <a:spcBef>
              <a:spcPts val="0"/>
            </a:spcBef>
            <a:spcAft>
              <a:spcPts val="0"/>
            </a:spcAft>
            <a:buClrTx/>
            <a:buSzTx/>
            <a:buFontTx/>
            <a:buNone/>
            <a:tabLst/>
            <a:defRPr/>
          </a:pPr>
          <a:br>
            <a:rPr lang="en-US" sz="1200" b="1">
              <a:solidFill>
                <a:schemeClr val="dk1"/>
              </a:solidFill>
              <a:effectLst/>
              <a:latin typeface="+mn-lt"/>
              <a:ea typeface="+mn-ea"/>
              <a:cs typeface="+mn-cs"/>
            </a:rPr>
          </a:br>
          <a:r>
            <a:rPr lang="en-US" sz="1200" b="1">
              <a:solidFill>
                <a:schemeClr val="dk1"/>
              </a:solidFill>
              <a:effectLst/>
              <a:latin typeface="+mn-lt"/>
              <a:ea typeface="+mn-ea"/>
              <a:cs typeface="+mn-cs"/>
            </a:rPr>
            <a:t>B. Using INDEX() and MATCH(), find the region in the table corresponding to both criteria and K9 and K10.</a:t>
          </a:r>
        </a:p>
        <a:p>
          <a:pPr marL="0" marR="0" lvl="0" indent="0" defTabSz="914400" rtl="0" eaLnBrk="1" fontAlgn="auto" latinLnBrk="0" hangingPunct="1">
            <a:lnSpc>
              <a:spcPct val="100000"/>
            </a:lnSpc>
            <a:spcBef>
              <a:spcPts val="0"/>
            </a:spcBef>
            <a:spcAft>
              <a:spcPts val="0"/>
            </a:spcAft>
            <a:buClrTx/>
            <a:buSzTx/>
            <a:buFontTx/>
            <a:buNone/>
            <a:tabLst/>
            <a:defRPr/>
          </a:pPr>
          <a:br>
            <a:rPr lang="en-US" sz="1200" b="1">
              <a:solidFill>
                <a:schemeClr val="dk1"/>
              </a:solidFill>
              <a:effectLst/>
              <a:latin typeface="+mn-lt"/>
              <a:ea typeface="+mn-ea"/>
              <a:cs typeface="+mn-cs"/>
            </a:rPr>
          </a:br>
          <a:r>
            <a:rPr lang="en-US" sz="1200" b="1">
              <a:solidFill>
                <a:schemeClr val="dk1"/>
              </a:solidFill>
              <a:effectLst/>
              <a:latin typeface="+mn-lt"/>
              <a:ea typeface="+mn-ea"/>
              <a:cs typeface="+mn-cs"/>
            </a:rPr>
            <a:t>C. With VLOOKUP(), return columns 4,2,6, and 5 (in that order) for the row corresponding to the name in I6. Display the result on a row.</a:t>
          </a:r>
          <a:br>
            <a:rPr lang="en-US" sz="1200" b="1">
              <a:solidFill>
                <a:schemeClr val="dk1"/>
              </a:solidFill>
              <a:effectLst/>
              <a:latin typeface="+mn-lt"/>
              <a:ea typeface="+mn-ea"/>
              <a:cs typeface="+mn-cs"/>
            </a:rPr>
          </a:br>
          <a:endParaRPr lang="en-US" sz="1200" b="1">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D. Same question but display the result on a column.</a:t>
          </a:r>
          <a:endParaRPr lang="fr-FR" sz="1200" b="1">
            <a:effectLst/>
          </a:endParaRPr>
        </a:p>
        <a:p>
          <a:endParaRPr lang="fr-FR" sz="1200" b="1"/>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723899</xdr:colOff>
      <xdr:row>11</xdr:row>
      <xdr:rowOff>38100</xdr:rowOff>
    </xdr:from>
    <xdr:to>
      <xdr:col>8</xdr:col>
      <xdr:colOff>838199</xdr:colOff>
      <xdr:row>16</xdr:row>
      <xdr:rowOff>85725</xdr:rowOff>
    </xdr:to>
    <xdr:sp macro="" textlink="">
      <xdr:nvSpPr>
        <xdr:cNvPr id="2" name="Flèche : angle droit 1">
          <a:extLst>
            <a:ext uri="{FF2B5EF4-FFF2-40B4-BE49-F238E27FC236}">
              <a16:creationId xmlns:a16="http://schemas.microsoft.com/office/drawing/2014/main" id="{00000000-0008-0000-0700-000002000000}"/>
            </a:ext>
          </a:extLst>
        </xdr:cNvPr>
        <xdr:cNvSpPr/>
      </xdr:nvSpPr>
      <xdr:spPr>
        <a:xfrm flipH="1">
          <a:off x="7267574" y="1828800"/>
          <a:ext cx="876300" cy="1057275"/>
        </a:xfrm>
        <a:prstGeom prst="bentUpArrow">
          <a:avLst/>
        </a:prstGeom>
        <a:ln w="57150">
          <a:solidFill>
            <a:schemeClr val="accent2">
              <a:lumMod val="5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fr-CH" sz="1100"/>
        </a:p>
      </xdr:txBody>
    </xdr:sp>
    <xdr:clientData/>
  </xdr:twoCellAnchor>
  <xdr:twoCellAnchor>
    <xdr:from>
      <xdr:col>4</xdr:col>
      <xdr:colOff>826770</xdr:colOff>
      <xdr:row>3</xdr:row>
      <xdr:rowOff>38100</xdr:rowOff>
    </xdr:from>
    <xdr:to>
      <xdr:col>13</xdr:col>
      <xdr:colOff>535305</xdr:colOff>
      <xdr:row>6</xdr:row>
      <xdr:rowOff>148590</xdr:rowOff>
    </xdr:to>
    <xdr:sp macro="" textlink="">
      <xdr:nvSpPr>
        <xdr:cNvPr id="3" name="TextBox 2">
          <a:extLst>
            <a:ext uri="{FF2B5EF4-FFF2-40B4-BE49-F238E27FC236}">
              <a16:creationId xmlns:a16="http://schemas.microsoft.com/office/drawing/2014/main" id="{06C9209E-A580-1E55-D080-07ECFA6B9B8C}"/>
            </a:ext>
          </a:extLst>
        </xdr:cNvPr>
        <xdr:cNvSpPr txBox="1"/>
      </xdr:nvSpPr>
      <xdr:spPr>
        <a:xfrm>
          <a:off x="5017770" y="838200"/>
          <a:ext cx="9309735" cy="75819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A. Use HLOOKUP() to find the</a:t>
          </a:r>
          <a:r>
            <a:rPr lang="en-US" sz="1200" b="1" baseline="0">
              <a:solidFill>
                <a:schemeClr val="dk1"/>
              </a:solidFill>
              <a:effectLst/>
              <a:latin typeface="+mn-lt"/>
              <a:ea typeface="+mn-ea"/>
              <a:cs typeface="+mn-cs"/>
            </a:rPr>
            <a:t> </a:t>
          </a:r>
          <a:r>
            <a:rPr lang="en-US" sz="1200" b="1">
              <a:solidFill>
                <a:schemeClr val="dk1"/>
              </a:solidFill>
              <a:effectLst/>
              <a:latin typeface="+mn-lt"/>
              <a:ea typeface="+mn-ea"/>
              <a:cs typeface="+mn-cs"/>
            </a:rPr>
            <a:t>percentage matching the year selected in K15 inside the horizontal matrix.</a:t>
          </a:r>
        </a:p>
        <a:p>
          <a:pPr marL="0" marR="0" lvl="0" indent="0" defTabSz="914400" rtl="0" eaLnBrk="1" fontAlgn="auto" latinLnBrk="0" hangingPunct="1">
            <a:lnSpc>
              <a:spcPct val="100000"/>
            </a:lnSpc>
            <a:spcBef>
              <a:spcPts val="0"/>
            </a:spcBef>
            <a:spcAft>
              <a:spcPts val="0"/>
            </a:spcAft>
            <a:buClrTx/>
            <a:buSzTx/>
            <a:buFontTx/>
            <a:buNone/>
            <a:tabLst/>
            <a:defRPr/>
          </a:pPr>
          <a:br>
            <a:rPr lang="en-US" sz="1200" b="1">
              <a:solidFill>
                <a:schemeClr val="dk1"/>
              </a:solidFill>
              <a:effectLst/>
              <a:latin typeface="+mn-lt"/>
              <a:ea typeface="+mn-ea"/>
              <a:cs typeface="+mn-cs"/>
            </a:rPr>
          </a:br>
          <a:r>
            <a:rPr lang="en-US" sz="1200" b="1">
              <a:solidFill>
                <a:schemeClr val="dk1"/>
              </a:solidFill>
              <a:effectLst/>
              <a:latin typeface="+mn-lt"/>
              <a:ea typeface="+mn-ea"/>
              <a:cs typeface="+mn-cs"/>
            </a:rPr>
            <a:t>B. Use HLOOKUP() to find the name of the person matching the year selected in K15</a:t>
          </a:r>
        </a:p>
        <a:p>
          <a:pPr marL="0" marR="0" lvl="0" indent="0" defTabSz="914400" rtl="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 in the horizontal matrix.</a:t>
          </a:r>
          <a:endParaRPr lang="fr-FR" sz="1200" b="1">
            <a:effectLst/>
          </a:endParaRPr>
        </a:p>
        <a:p>
          <a:endParaRPr lang="fr-FR" sz="1200" b="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381000</xdr:colOff>
      <xdr:row>58</xdr:row>
      <xdr:rowOff>200025</xdr:rowOff>
    </xdr:from>
    <xdr:to>
      <xdr:col>10</xdr:col>
      <xdr:colOff>483869</xdr:colOff>
      <xdr:row>60</xdr:row>
      <xdr:rowOff>47625</xdr:rowOff>
    </xdr:to>
    <xdr:sp macro="" textlink="">
      <xdr:nvSpPr>
        <xdr:cNvPr id="2" name="Flèche : double flèche verticale 1">
          <a:extLst>
            <a:ext uri="{FF2B5EF4-FFF2-40B4-BE49-F238E27FC236}">
              <a16:creationId xmlns:a16="http://schemas.microsoft.com/office/drawing/2014/main" id="{00000000-0008-0000-0900-000002000000}"/>
            </a:ext>
          </a:extLst>
        </xdr:cNvPr>
        <xdr:cNvSpPr/>
      </xdr:nvSpPr>
      <xdr:spPr>
        <a:xfrm>
          <a:off x="1390650" y="6981825"/>
          <a:ext cx="102869" cy="276225"/>
        </a:xfrm>
        <a:prstGeom prst="upDownArrow">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4</xdr:col>
      <xdr:colOff>447676</xdr:colOff>
      <xdr:row>4</xdr:row>
      <xdr:rowOff>47625</xdr:rowOff>
    </xdr:from>
    <xdr:to>
      <xdr:col>4</xdr:col>
      <xdr:colOff>590550</xdr:colOff>
      <xdr:row>5</xdr:row>
      <xdr:rowOff>314325</xdr:rowOff>
    </xdr:to>
    <xdr:sp macro="" textlink="">
      <xdr:nvSpPr>
        <xdr:cNvPr id="3" name="Flèche : double flèche verticale 2">
          <a:extLst>
            <a:ext uri="{FF2B5EF4-FFF2-40B4-BE49-F238E27FC236}">
              <a16:creationId xmlns:a16="http://schemas.microsoft.com/office/drawing/2014/main" id="{00000000-0008-0000-0900-000003000000}"/>
            </a:ext>
          </a:extLst>
        </xdr:cNvPr>
        <xdr:cNvSpPr/>
      </xdr:nvSpPr>
      <xdr:spPr>
        <a:xfrm>
          <a:off x="3876676" y="285750"/>
          <a:ext cx="142874" cy="504825"/>
        </a:xfrm>
        <a:prstGeom prst="upDownArrow">
          <a:avLst/>
        </a:prstGeom>
        <a:solidFill>
          <a:schemeClr val="tx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6</xdr:col>
      <xdr:colOff>523875</xdr:colOff>
      <xdr:row>5</xdr:row>
      <xdr:rowOff>0</xdr:rowOff>
    </xdr:from>
    <xdr:to>
      <xdr:col>6</xdr:col>
      <xdr:colOff>676275</xdr:colOff>
      <xdr:row>5</xdr:row>
      <xdr:rowOff>304800</xdr:rowOff>
    </xdr:to>
    <xdr:sp macro="" textlink="">
      <xdr:nvSpPr>
        <xdr:cNvPr id="8" name="Flèche : double flèche verticale 1">
          <a:extLst>
            <a:ext uri="{FF2B5EF4-FFF2-40B4-BE49-F238E27FC236}">
              <a16:creationId xmlns:a16="http://schemas.microsoft.com/office/drawing/2014/main" id="{00000000-0008-0000-0900-000008000000}"/>
            </a:ext>
          </a:extLst>
        </xdr:cNvPr>
        <xdr:cNvSpPr/>
      </xdr:nvSpPr>
      <xdr:spPr>
        <a:xfrm>
          <a:off x="5981700" y="476250"/>
          <a:ext cx="152400" cy="304800"/>
        </a:xfrm>
        <a:prstGeom prst="upDownArrow">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11</xdr:col>
      <xdr:colOff>189897</xdr:colOff>
      <xdr:row>28</xdr:row>
      <xdr:rowOff>252562</xdr:rowOff>
    </xdr:from>
    <xdr:to>
      <xdr:col>15</xdr:col>
      <xdr:colOff>161022</xdr:colOff>
      <xdr:row>32</xdr:row>
      <xdr:rowOff>33787</xdr:rowOff>
    </xdr:to>
    <xdr:sp macro="" textlink="">
      <xdr:nvSpPr>
        <xdr:cNvPr id="4" name="TextBox 3">
          <a:extLst>
            <a:ext uri="{FF2B5EF4-FFF2-40B4-BE49-F238E27FC236}">
              <a16:creationId xmlns:a16="http://schemas.microsoft.com/office/drawing/2014/main" id="{27179175-2E41-B928-1349-D1DED63AB4DD}"/>
            </a:ext>
          </a:extLst>
        </xdr:cNvPr>
        <xdr:cNvSpPr txBox="1"/>
      </xdr:nvSpPr>
      <xdr:spPr>
        <a:xfrm>
          <a:off x="15617890" y="9326378"/>
          <a:ext cx="7515928" cy="9593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b="1"/>
            <a:t>search_mode</a:t>
          </a:r>
        </a:p>
        <a:p>
          <a:r>
            <a:rPr lang="fr-FR" sz="1600" b="1" i="0" u="none" strike="noStrike">
              <a:solidFill>
                <a:schemeClr val="dk1"/>
              </a:solidFill>
              <a:effectLst/>
              <a:latin typeface="+mn-lt"/>
              <a:ea typeface="+mn-ea"/>
              <a:cs typeface="+mn-cs"/>
            </a:rPr>
            <a:t>1    Search from first to last (top to bottom or left to right) — default</a:t>
          </a:r>
          <a:r>
            <a:rPr lang="fr-FR" sz="1600" b="1">
              <a:effectLst/>
            </a:rPr>
            <a:t> </a:t>
          </a:r>
          <a:r>
            <a:rPr lang="fr-FR" sz="1600" b="1" i="0" u="none" strike="noStrike">
              <a:solidFill>
                <a:schemeClr val="dk1"/>
              </a:solidFill>
              <a:effectLst/>
              <a:latin typeface="+mn-lt"/>
              <a:ea typeface="+mn-ea"/>
              <a:cs typeface="+mn-cs"/>
            </a:rPr>
            <a:t>  </a:t>
          </a:r>
          <a:br>
            <a:rPr lang="fr-FR" sz="1600" b="1" i="0" u="none" strike="noStrike">
              <a:solidFill>
                <a:schemeClr val="dk1"/>
              </a:solidFill>
              <a:effectLst/>
              <a:latin typeface="+mn-lt"/>
              <a:ea typeface="+mn-ea"/>
              <a:cs typeface="+mn-cs"/>
            </a:rPr>
          </a:br>
          <a:r>
            <a:rPr lang="fr-FR" sz="1600" b="1" i="0" u="none" strike="noStrike">
              <a:solidFill>
                <a:schemeClr val="dk1"/>
              </a:solidFill>
              <a:effectLst/>
              <a:latin typeface="+mn-lt"/>
              <a:ea typeface="+mn-ea"/>
              <a:cs typeface="+mn-cs"/>
            </a:rPr>
            <a:t>-1   Search from last to first (bottom to top or right to left)</a:t>
          </a:r>
          <a:r>
            <a:rPr lang="fr-FR" sz="1600" b="1">
              <a:effectLst/>
            </a:rPr>
            <a:t> </a:t>
          </a:r>
          <a:endParaRPr lang="fr-FR" sz="1600" b="1"/>
        </a:p>
      </xdr:txBody>
    </xdr:sp>
    <xdr:clientData/>
  </xdr:twoCellAnchor>
  <xdr:twoCellAnchor>
    <xdr:from>
      <xdr:col>12</xdr:col>
      <xdr:colOff>1304222</xdr:colOff>
      <xdr:row>67</xdr:row>
      <xdr:rowOff>170546</xdr:rowOff>
    </xdr:from>
    <xdr:to>
      <xdr:col>17</xdr:col>
      <xdr:colOff>245744</xdr:colOff>
      <xdr:row>71</xdr:row>
      <xdr:rowOff>200527</xdr:rowOff>
    </xdr:to>
    <xdr:sp macro="" textlink="">
      <xdr:nvSpPr>
        <xdr:cNvPr id="5" name="TextBox 4">
          <a:extLst>
            <a:ext uri="{FF2B5EF4-FFF2-40B4-BE49-F238E27FC236}">
              <a16:creationId xmlns:a16="http://schemas.microsoft.com/office/drawing/2014/main" id="{A598AC2E-016F-53E1-94A0-E44EF4797EA2}"/>
            </a:ext>
          </a:extLst>
        </xdr:cNvPr>
        <xdr:cNvSpPr txBox="1"/>
      </xdr:nvSpPr>
      <xdr:spPr>
        <a:xfrm>
          <a:off x="19451854" y="17866993"/>
          <a:ext cx="6448726" cy="13584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b="1"/>
            <a:t>match_mode</a:t>
          </a:r>
        </a:p>
        <a:p>
          <a:r>
            <a:rPr lang="fr-FR" sz="1600" b="1" i="0" u="none" strike="noStrike">
              <a:solidFill>
                <a:schemeClr val="dk1"/>
              </a:solidFill>
              <a:effectLst/>
              <a:latin typeface="+mn-lt"/>
              <a:ea typeface="+mn-ea"/>
              <a:cs typeface="+mn-cs"/>
            </a:rPr>
            <a:t>0     Exact match (default). If no exact match is found, returns #N/A.</a:t>
          </a:r>
          <a:r>
            <a:rPr lang="fr-FR" sz="1600">
              <a:effectLst/>
            </a:rPr>
            <a:t> </a:t>
          </a:r>
        </a:p>
        <a:p>
          <a:r>
            <a:rPr lang="fr-FR" sz="1600" b="1" i="0" u="none" strike="noStrike">
              <a:solidFill>
                <a:schemeClr val="dk1"/>
              </a:solidFill>
              <a:effectLst/>
              <a:latin typeface="+mn-lt"/>
              <a:ea typeface="+mn-ea"/>
              <a:cs typeface="+mn-cs"/>
            </a:rPr>
            <a:t>-1   Exact match or next smaller item. </a:t>
          </a:r>
          <a:r>
            <a:rPr lang="fr-FR" sz="1600">
              <a:effectLst/>
            </a:rPr>
            <a:t> </a:t>
          </a:r>
        </a:p>
        <a:p>
          <a:r>
            <a:rPr lang="fr-FR" sz="1600" b="1" i="0" u="none" strike="noStrike">
              <a:solidFill>
                <a:schemeClr val="dk1"/>
              </a:solidFill>
              <a:effectLst/>
              <a:latin typeface="+mn-lt"/>
              <a:ea typeface="+mn-ea"/>
              <a:cs typeface="+mn-cs"/>
            </a:rPr>
            <a:t>1     Exact match or next larger item. </a:t>
          </a:r>
          <a:r>
            <a:rPr lang="fr-FR" sz="1600">
              <a:effectLst/>
            </a:rPr>
            <a:t> </a:t>
          </a:r>
        </a:p>
        <a:p>
          <a:r>
            <a:rPr lang="fr-FR" sz="1600" b="1" i="0" u="none" strike="noStrike">
              <a:solidFill>
                <a:schemeClr val="dk1"/>
              </a:solidFill>
              <a:effectLst/>
              <a:latin typeface="+mn-lt"/>
              <a:ea typeface="+mn-ea"/>
              <a:cs typeface="+mn-cs"/>
            </a:rPr>
            <a:t>2     Wildcard match. Supports *, ?, and ~ in the lookup value.</a:t>
          </a:r>
          <a:r>
            <a:rPr lang="fr-FR" sz="1600">
              <a:effectLst/>
            </a:rPr>
            <a:t> </a:t>
          </a:r>
          <a:endParaRPr lang="fr-FR" sz="1600" b="1"/>
        </a:p>
      </xdr:txBody>
    </xdr:sp>
    <xdr:clientData/>
  </xdr:twoCellAnchor>
  <xdr:twoCellAnchor>
    <xdr:from>
      <xdr:col>0</xdr:col>
      <xdr:colOff>364558</xdr:colOff>
      <xdr:row>3</xdr:row>
      <xdr:rowOff>88533</xdr:rowOff>
    </xdr:from>
    <xdr:to>
      <xdr:col>7</xdr:col>
      <xdr:colOff>1428750</xdr:colOff>
      <xdr:row>3</xdr:row>
      <xdr:rowOff>1666875</xdr:rowOff>
    </xdr:to>
    <xdr:sp macro="" textlink="">
      <xdr:nvSpPr>
        <xdr:cNvPr id="6" name="TextBox 5">
          <a:extLst>
            <a:ext uri="{FF2B5EF4-FFF2-40B4-BE49-F238E27FC236}">
              <a16:creationId xmlns:a16="http://schemas.microsoft.com/office/drawing/2014/main" id="{F2D80B59-03DC-E966-3D20-D54701010758}"/>
            </a:ext>
          </a:extLst>
        </xdr:cNvPr>
        <xdr:cNvSpPr txBox="1"/>
      </xdr:nvSpPr>
      <xdr:spPr>
        <a:xfrm>
          <a:off x="364558" y="890638"/>
          <a:ext cx="10112942" cy="1578342"/>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For</a:t>
          </a:r>
          <a:r>
            <a:rPr lang="en-US" sz="2000" baseline="0">
              <a:solidFill>
                <a:schemeClr val="dk1"/>
              </a:solidFill>
              <a:effectLst/>
              <a:latin typeface="+mn-lt"/>
              <a:ea typeface="+mn-ea"/>
              <a:cs typeface="+mn-cs"/>
            </a:rPr>
            <a:t> every row of</a:t>
          </a:r>
          <a:r>
            <a:rPr lang="en-US" sz="2000">
              <a:solidFill>
                <a:schemeClr val="dk1"/>
              </a:solidFill>
              <a:effectLst/>
              <a:latin typeface="+mn-lt"/>
              <a:ea typeface="+mn-ea"/>
              <a:cs typeface="+mn-cs"/>
            </a:rPr>
            <a:t> the 'tbl_Presidents' table, use XLOOKUP() in column E to calculate the bonus for each name (lookup the % from the tbl_bonus</a:t>
          </a:r>
          <a:r>
            <a:rPr lang="en-US" sz="2000" baseline="0">
              <a:solidFill>
                <a:schemeClr val="dk1"/>
              </a:solidFill>
              <a:effectLst/>
              <a:latin typeface="+mn-lt"/>
              <a:ea typeface="+mn-ea"/>
              <a:cs typeface="+mn-cs"/>
            </a:rPr>
            <a:t> table)</a:t>
          </a:r>
          <a:r>
            <a:rPr lang="en-US" sz="2000">
              <a:solidFill>
                <a:schemeClr val="dk1"/>
              </a:solidFill>
              <a:effectLst/>
              <a:latin typeface="+mn-lt"/>
              <a:ea typeface="+mn-ea"/>
              <a:cs typeface="+mn-cs"/>
            </a:rPr>
            <a:t> .</a:t>
          </a:r>
        </a:p>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Same question for column G which must contain the amount of the extra bonus from the Extra bonus range in G57.</a:t>
          </a:r>
          <a:br>
            <a:rPr lang="en-US" sz="2000">
              <a:solidFill>
                <a:schemeClr val="dk1"/>
              </a:solidFill>
              <a:effectLst/>
              <a:latin typeface="+mn-lt"/>
              <a:ea typeface="+mn-ea"/>
              <a:cs typeface="+mn-cs"/>
            </a:rPr>
          </a:br>
          <a:endParaRPr lang="fr-FR" sz="2000"/>
        </a:p>
      </xdr:txBody>
    </xdr:sp>
    <xdr:clientData/>
  </xdr:twoCellAnchor>
  <xdr:twoCellAnchor>
    <xdr:from>
      <xdr:col>8</xdr:col>
      <xdr:colOff>1039429</xdr:colOff>
      <xdr:row>3</xdr:row>
      <xdr:rowOff>1573129</xdr:rowOff>
    </xdr:from>
    <xdr:to>
      <xdr:col>12</xdr:col>
      <xdr:colOff>488782</xdr:colOff>
      <xdr:row>4</xdr:row>
      <xdr:rowOff>48226</xdr:rowOff>
    </xdr:to>
    <xdr:sp macro="" textlink="">
      <xdr:nvSpPr>
        <xdr:cNvPr id="7" name="TextBox 6">
          <a:extLst>
            <a:ext uri="{FF2B5EF4-FFF2-40B4-BE49-F238E27FC236}">
              <a16:creationId xmlns:a16="http://schemas.microsoft.com/office/drawing/2014/main" id="{6BCA80A2-D3A1-81B9-6F96-73D41048D301}"/>
            </a:ext>
          </a:extLst>
        </xdr:cNvPr>
        <xdr:cNvSpPr txBox="1"/>
      </xdr:nvSpPr>
      <xdr:spPr>
        <a:xfrm>
          <a:off x="11529462" y="2375234"/>
          <a:ext cx="7106952" cy="455295"/>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A. Use XLOOKUP()</a:t>
          </a:r>
          <a:r>
            <a:rPr lang="en-US" sz="2000" baseline="0">
              <a:solidFill>
                <a:schemeClr val="dk1"/>
              </a:solidFill>
              <a:effectLst/>
              <a:latin typeface="+mn-lt"/>
              <a:ea typeface="+mn-ea"/>
              <a:cs typeface="+mn-cs"/>
            </a:rPr>
            <a:t> to determine who was president in 2000</a:t>
          </a:r>
          <a:endParaRPr lang="fr-FR" sz="2000"/>
        </a:p>
      </xdr:txBody>
    </xdr:sp>
    <xdr:clientData/>
  </xdr:twoCellAnchor>
  <xdr:twoCellAnchor>
    <xdr:from>
      <xdr:col>9</xdr:col>
      <xdr:colOff>15542</xdr:colOff>
      <xdr:row>9</xdr:row>
      <xdr:rowOff>53639</xdr:rowOff>
    </xdr:from>
    <xdr:to>
      <xdr:col>13</xdr:col>
      <xdr:colOff>1731445</xdr:colOff>
      <xdr:row>12</xdr:row>
      <xdr:rowOff>175460</xdr:rowOff>
    </xdr:to>
    <xdr:sp macro="" textlink="">
      <xdr:nvSpPr>
        <xdr:cNvPr id="9" name="TextBox 8">
          <a:extLst>
            <a:ext uri="{FF2B5EF4-FFF2-40B4-BE49-F238E27FC236}">
              <a16:creationId xmlns:a16="http://schemas.microsoft.com/office/drawing/2014/main" id="{0249BB97-D4FD-0318-0C25-86F730D2A993}"/>
            </a:ext>
          </a:extLst>
        </xdr:cNvPr>
        <xdr:cNvSpPr txBox="1"/>
      </xdr:nvSpPr>
      <xdr:spPr>
        <a:xfrm>
          <a:off x="11545805" y="4139363"/>
          <a:ext cx="9937482" cy="798597"/>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B. Use XLOOKUP()</a:t>
          </a:r>
          <a:r>
            <a:rPr lang="en-US" sz="2000" baseline="0">
              <a:solidFill>
                <a:schemeClr val="dk1"/>
              </a:solidFill>
              <a:effectLst/>
              <a:latin typeface="+mn-lt"/>
              <a:ea typeface="+mn-ea"/>
              <a:cs typeface="+mn-cs"/>
            </a:rPr>
            <a:t> to determine the year of presidency for the 3 names in J15:J17</a:t>
          </a:r>
        </a:p>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C. Use XLOOKUP() to return the columns 'name', 'Base' and 'Bonus' for the name</a:t>
          </a:r>
          <a:r>
            <a:rPr lang="en-US" sz="2000" baseline="0">
              <a:solidFill>
                <a:schemeClr val="dk1"/>
              </a:solidFill>
              <a:effectLst/>
              <a:latin typeface="+mn-lt"/>
              <a:ea typeface="+mn-ea"/>
              <a:cs typeface="+mn-cs"/>
            </a:rPr>
            <a:t> in M15</a:t>
          </a:r>
          <a:endParaRPr lang="fr-FR" sz="2000">
            <a:solidFill>
              <a:schemeClr val="dk1"/>
            </a:solidFill>
            <a:effectLst/>
            <a:latin typeface="+mn-lt"/>
            <a:ea typeface="+mn-ea"/>
            <a:cs typeface="+mn-cs"/>
          </a:endParaRPr>
        </a:p>
      </xdr:txBody>
    </xdr:sp>
    <xdr:clientData/>
  </xdr:twoCellAnchor>
  <xdr:twoCellAnchor>
    <xdr:from>
      <xdr:col>9</xdr:col>
      <xdr:colOff>26170</xdr:colOff>
      <xdr:row>18</xdr:row>
      <xdr:rowOff>171350</xdr:rowOff>
    </xdr:from>
    <xdr:to>
      <xdr:col>12</xdr:col>
      <xdr:colOff>511943</xdr:colOff>
      <xdr:row>20</xdr:row>
      <xdr:rowOff>175461</xdr:rowOff>
    </xdr:to>
    <xdr:sp macro="" textlink="">
      <xdr:nvSpPr>
        <xdr:cNvPr id="10" name="TextBox 9">
          <a:extLst>
            <a:ext uri="{FF2B5EF4-FFF2-40B4-BE49-F238E27FC236}">
              <a16:creationId xmlns:a16="http://schemas.microsoft.com/office/drawing/2014/main" id="{7B9D15ED-52C0-6D0D-904D-B1961A15063F}"/>
            </a:ext>
          </a:extLst>
        </xdr:cNvPr>
        <xdr:cNvSpPr txBox="1"/>
      </xdr:nvSpPr>
      <xdr:spPr>
        <a:xfrm>
          <a:off x="11556433" y="6713521"/>
          <a:ext cx="7103142" cy="455295"/>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D. Use XLOOKUP()</a:t>
          </a:r>
          <a:r>
            <a:rPr lang="en-US" sz="2000" baseline="0">
              <a:solidFill>
                <a:schemeClr val="dk1"/>
              </a:solidFill>
              <a:effectLst/>
              <a:latin typeface="+mn-lt"/>
              <a:ea typeface="+mn-ea"/>
              <a:cs typeface="+mn-cs"/>
            </a:rPr>
            <a:t> with a wildcard to look up part of the name</a:t>
          </a:r>
          <a:endParaRPr lang="fr-FR" sz="2000"/>
        </a:p>
      </xdr:txBody>
    </xdr:sp>
    <xdr:clientData/>
  </xdr:twoCellAnchor>
  <xdr:twoCellAnchor>
    <xdr:from>
      <xdr:col>9</xdr:col>
      <xdr:colOff>9827</xdr:colOff>
      <xdr:row>25</xdr:row>
      <xdr:rowOff>125029</xdr:rowOff>
    </xdr:from>
    <xdr:to>
      <xdr:col>12</xdr:col>
      <xdr:colOff>503220</xdr:colOff>
      <xdr:row>27</xdr:row>
      <xdr:rowOff>121519</xdr:rowOff>
    </xdr:to>
    <xdr:sp macro="" textlink="">
      <xdr:nvSpPr>
        <xdr:cNvPr id="11" name="TextBox 10">
          <a:extLst>
            <a:ext uri="{FF2B5EF4-FFF2-40B4-BE49-F238E27FC236}">
              <a16:creationId xmlns:a16="http://schemas.microsoft.com/office/drawing/2014/main" id="{E302B3A9-619E-7777-33CA-7822570A5494}"/>
            </a:ext>
          </a:extLst>
        </xdr:cNvPr>
        <xdr:cNvSpPr txBox="1"/>
      </xdr:nvSpPr>
      <xdr:spPr>
        <a:xfrm>
          <a:off x="11540090" y="8522068"/>
          <a:ext cx="7110762" cy="447675"/>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E. Use XLOOKUP()</a:t>
          </a:r>
          <a:r>
            <a:rPr lang="en-US" sz="2000" baseline="0">
              <a:solidFill>
                <a:schemeClr val="dk1"/>
              </a:solidFill>
              <a:effectLst/>
              <a:latin typeface="+mn-lt"/>
              <a:ea typeface="+mn-ea"/>
              <a:cs typeface="+mn-cs"/>
            </a:rPr>
            <a:t> from bottom of the list</a:t>
          </a:r>
          <a:endParaRPr lang="fr-FR" sz="2000"/>
        </a:p>
      </xdr:txBody>
    </xdr:sp>
    <xdr:clientData/>
  </xdr:twoCellAnchor>
  <xdr:twoCellAnchor>
    <xdr:from>
      <xdr:col>8</xdr:col>
      <xdr:colOff>989297</xdr:colOff>
      <xdr:row>33</xdr:row>
      <xdr:rowOff>39203</xdr:rowOff>
    </xdr:from>
    <xdr:to>
      <xdr:col>14</xdr:col>
      <xdr:colOff>62664</xdr:colOff>
      <xdr:row>36</xdr:row>
      <xdr:rowOff>112796</xdr:rowOff>
    </xdr:to>
    <xdr:sp macro="" textlink="">
      <xdr:nvSpPr>
        <xdr:cNvPr id="12" name="TextBox 11">
          <a:extLst>
            <a:ext uri="{FF2B5EF4-FFF2-40B4-BE49-F238E27FC236}">
              <a16:creationId xmlns:a16="http://schemas.microsoft.com/office/drawing/2014/main" id="{63DC35A7-76C7-FBF7-6F7B-F0959BE3D021}"/>
            </a:ext>
          </a:extLst>
        </xdr:cNvPr>
        <xdr:cNvSpPr txBox="1"/>
      </xdr:nvSpPr>
      <xdr:spPr>
        <a:xfrm>
          <a:off x="11479330" y="10516703"/>
          <a:ext cx="10265242" cy="750369"/>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F. Use nested XLOOKUP()</a:t>
          </a:r>
          <a:r>
            <a:rPr lang="en-US" sz="2000" baseline="0">
              <a:solidFill>
                <a:schemeClr val="dk1"/>
              </a:solidFill>
              <a:effectLst/>
              <a:latin typeface="+mn-lt"/>
              <a:ea typeface="+mn-ea"/>
              <a:cs typeface="+mn-cs"/>
            </a:rPr>
            <a:t> to look up the name in J39 and return the column name listed in J40.</a:t>
          </a:r>
        </a:p>
        <a:p>
          <a:pPr marL="0" marR="0" lvl="0" indent="0" defTabSz="914400" rtl="0" eaLnBrk="1" fontAlgn="auto" latinLnBrk="0" hangingPunct="1">
            <a:lnSpc>
              <a:spcPct val="100000"/>
            </a:lnSpc>
            <a:spcBef>
              <a:spcPts val="0"/>
            </a:spcBef>
            <a:spcAft>
              <a:spcPts val="0"/>
            </a:spcAft>
            <a:buClrTx/>
            <a:buSzTx/>
            <a:buFontTx/>
            <a:buNone/>
            <a:tabLst/>
            <a:defRPr/>
          </a:pPr>
          <a:r>
            <a:rPr lang="en-US" sz="2000" baseline="0">
              <a:solidFill>
                <a:schemeClr val="dk1"/>
              </a:solidFill>
              <a:effectLst/>
              <a:latin typeface="+mn-lt"/>
              <a:ea typeface="+mn-ea"/>
              <a:cs typeface="+mn-cs"/>
            </a:rPr>
            <a:t>G. Same question for mulitple names. Criteria in M39:O39 + M40.</a:t>
          </a:r>
        </a:p>
        <a:p>
          <a:pPr marL="0" marR="0" lvl="0" indent="0" defTabSz="914400" rtl="0" eaLnBrk="1" fontAlgn="auto" latinLnBrk="0" hangingPunct="1">
            <a:lnSpc>
              <a:spcPct val="100000"/>
            </a:lnSpc>
            <a:spcBef>
              <a:spcPts val="0"/>
            </a:spcBef>
            <a:spcAft>
              <a:spcPts val="0"/>
            </a:spcAft>
            <a:buClrTx/>
            <a:buSzTx/>
            <a:buFontTx/>
            <a:buNone/>
            <a:tabLst/>
            <a:defRPr/>
          </a:pPr>
          <a:endParaRPr lang="fr-FR" sz="2000"/>
        </a:p>
      </xdr:txBody>
    </xdr:sp>
    <xdr:clientData/>
  </xdr:twoCellAnchor>
  <xdr:twoCellAnchor>
    <xdr:from>
      <xdr:col>9</xdr:col>
      <xdr:colOff>4111</xdr:colOff>
      <xdr:row>43</xdr:row>
      <xdr:rowOff>172152</xdr:rowOff>
    </xdr:from>
    <xdr:to>
      <xdr:col>14</xdr:col>
      <xdr:colOff>121518</xdr:colOff>
      <xdr:row>45</xdr:row>
      <xdr:rowOff>150396</xdr:rowOff>
    </xdr:to>
    <xdr:sp macro="" textlink="">
      <xdr:nvSpPr>
        <xdr:cNvPr id="13" name="TextBox 12">
          <a:extLst>
            <a:ext uri="{FF2B5EF4-FFF2-40B4-BE49-F238E27FC236}">
              <a16:creationId xmlns:a16="http://schemas.microsoft.com/office/drawing/2014/main" id="{4B3AC5F0-B8BC-1E8E-032F-5D7122340731}"/>
            </a:ext>
          </a:extLst>
        </xdr:cNvPr>
        <xdr:cNvSpPr txBox="1"/>
      </xdr:nvSpPr>
      <xdr:spPr>
        <a:xfrm>
          <a:off x="11534374" y="13243961"/>
          <a:ext cx="10269052" cy="429428"/>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H. XLOOKUP()</a:t>
          </a:r>
          <a:r>
            <a:rPr lang="en-US" sz="2000" baseline="0">
              <a:solidFill>
                <a:schemeClr val="dk1"/>
              </a:solidFill>
              <a:effectLst/>
              <a:latin typeface="+mn-lt"/>
              <a:ea typeface="+mn-ea"/>
              <a:cs typeface="+mn-cs"/>
            </a:rPr>
            <a:t> with a combination of search values</a:t>
          </a:r>
        </a:p>
        <a:p>
          <a:pPr marL="0" marR="0" lvl="0" indent="0" defTabSz="914400" rtl="0" eaLnBrk="1" fontAlgn="auto" latinLnBrk="0" hangingPunct="1">
            <a:lnSpc>
              <a:spcPct val="100000"/>
            </a:lnSpc>
            <a:spcBef>
              <a:spcPts val="0"/>
            </a:spcBef>
            <a:spcAft>
              <a:spcPts val="0"/>
            </a:spcAft>
            <a:buClrTx/>
            <a:buSzTx/>
            <a:buFontTx/>
            <a:buNone/>
            <a:tabLst/>
            <a:defRPr/>
          </a:pPr>
          <a:endParaRPr lang="fr-FR" sz="2000"/>
        </a:p>
      </xdr:txBody>
    </xdr:sp>
    <xdr:clientData/>
  </xdr:twoCellAnchor>
  <xdr:twoCellAnchor>
    <xdr:from>
      <xdr:col>8</xdr:col>
      <xdr:colOff>1037523</xdr:colOff>
      <xdr:row>51</xdr:row>
      <xdr:rowOff>134552</xdr:rowOff>
    </xdr:from>
    <xdr:to>
      <xdr:col>14</xdr:col>
      <xdr:colOff>110890</xdr:colOff>
      <xdr:row>54</xdr:row>
      <xdr:rowOff>112795</xdr:rowOff>
    </xdr:to>
    <xdr:sp macro="" textlink="">
      <xdr:nvSpPr>
        <xdr:cNvPr id="14" name="TextBox 13">
          <a:extLst>
            <a:ext uri="{FF2B5EF4-FFF2-40B4-BE49-F238E27FC236}">
              <a16:creationId xmlns:a16="http://schemas.microsoft.com/office/drawing/2014/main" id="{D1DFE253-5AAA-38CE-3033-BB185D1150BC}"/>
            </a:ext>
          </a:extLst>
        </xdr:cNvPr>
        <xdr:cNvSpPr txBox="1"/>
      </xdr:nvSpPr>
      <xdr:spPr>
        <a:xfrm>
          <a:off x="11527556" y="15336953"/>
          <a:ext cx="10265242" cy="843013"/>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I. Find the top 3 salaries and then look</a:t>
          </a:r>
          <a:r>
            <a:rPr lang="en-US" sz="2000" baseline="0">
              <a:solidFill>
                <a:schemeClr val="dk1"/>
              </a:solidFill>
              <a:effectLst/>
              <a:latin typeface="+mn-lt"/>
              <a:ea typeface="+mn-ea"/>
              <a:cs typeface="+mn-cs"/>
            </a:rPr>
            <a:t> up the matching names.</a:t>
          </a:r>
        </a:p>
        <a:p>
          <a:pPr marL="0" marR="0" lvl="0" indent="0" defTabSz="914400" rtl="0" eaLnBrk="1" fontAlgn="auto" latinLnBrk="0" hangingPunct="1">
            <a:lnSpc>
              <a:spcPct val="100000"/>
            </a:lnSpc>
            <a:spcBef>
              <a:spcPts val="0"/>
            </a:spcBef>
            <a:spcAft>
              <a:spcPts val="0"/>
            </a:spcAft>
            <a:buClrTx/>
            <a:buSzTx/>
            <a:buFontTx/>
            <a:buNone/>
            <a:tabLst/>
            <a:defRPr/>
          </a:pPr>
          <a:r>
            <a:rPr lang="fr-FR" sz="2000"/>
            <a:t>J. Sum</a:t>
          </a:r>
          <a:r>
            <a:rPr lang="fr-FR" sz="2000" baseline="0"/>
            <a:t> the total column for all presidents between 1990 and 2000.</a:t>
          </a:r>
          <a:endParaRPr lang="fr-FR" sz="2000"/>
        </a:p>
      </xdr:txBody>
    </xdr:sp>
    <xdr:clientData/>
  </xdr:twoCellAnchor>
  <xdr:twoCellAnchor>
    <xdr:from>
      <xdr:col>8</xdr:col>
      <xdr:colOff>1010552</xdr:colOff>
      <xdr:row>63</xdr:row>
      <xdr:rowOff>93144</xdr:rowOff>
    </xdr:from>
    <xdr:to>
      <xdr:col>16</xdr:col>
      <xdr:colOff>825267</xdr:colOff>
      <xdr:row>66</xdr:row>
      <xdr:rowOff>187994</xdr:rowOff>
    </xdr:to>
    <xdr:sp macro="" textlink="">
      <xdr:nvSpPr>
        <xdr:cNvPr id="15" name="TextBox 14">
          <a:extLst>
            <a:ext uri="{FF2B5EF4-FFF2-40B4-BE49-F238E27FC236}">
              <a16:creationId xmlns:a16="http://schemas.microsoft.com/office/drawing/2014/main" id="{85A0285E-8104-3154-EDB0-C16557073249}"/>
            </a:ext>
          </a:extLst>
        </xdr:cNvPr>
        <xdr:cNvSpPr txBox="1"/>
      </xdr:nvSpPr>
      <xdr:spPr>
        <a:xfrm>
          <a:off x="11500585" y="18767157"/>
          <a:ext cx="13437971" cy="771626"/>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K. XLOOKUP()</a:t>
          </a:r>
          <a:r>
            <a:rPr lang="en-US" sz="2000" baseline="0">
              <a:solidFill>
                <a:schemeClr val="dk1"/>
              </a:solidFill>
              <a:effectLst/>
              <a:latin typeface="+mn-lt"/>
              <a:ea typeface="+mn-ea"/>
              <a:cs typeface="+mn-cs"/>
            </a:rPr>
            <a:t> with an approximate match: find the bonus percentage for every salary found in K69:K71 using the next smaller item option in the match-mode parameter.</a:t>
          </a:r>
        </a:p>
        <a:p>
          <a:pPr marL="0" marR="0" lvl="0" indent="0" defTabSz="914400" rtl="0" eaLnBrk="1" fontAlgn="auto" latinLnBrk="0" hangingPunct="1">
            <a:lnSpc>
              <a:spcPct val="100000"/>
            </a:lnSpc>
            <a:spcBef>
              <a:spcPts val="0"/>
            </a:spcBef>
            <a:spcAft>
              <a:spcPts val="0"/>
            </a:spcAft>
            <a:buClrTx/>
            <a:buSzTx/>
            <a:buFontTx/>
            <a:buNone/>
            <a:tabLst/>
            <a:defRPr/>
          </a:pPr>
          <a:endParaRPr lang="en-US" sz="200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fr-FR" sz="2000"/>
        </a:p>
      </xdr:txBody>
    </xdr:sp>
    <xdr:clientData/>
  </xdr:twoCellAnchor>
  <xdr:twoCellAnchor>
    <xdr:from>
      <xdr:col>8</xdr:col>
      <xdr:colOff>1019275</xdr:colOff>
      <xdr:row>72</xdr:row>
      <xdr:rowOff>103772</xdr:rowOff>
    </xdr:from>
    <xdr:to>
      <xdr:col>16</xdr:col>
      <xdr:colOff>833990</xdr:colOff>
      <xdr:row>75</xdr:row>
      <xdr:rowOff>198621</xdr:rowOff>
    </xdr:to>
    <xdr:sp macro="" textlink="">
      <xdr:nvSpPr>
        <xdr:cNvPr id="16" name="TextBox 15">
          <a:extLst>
            <a:ext uri="{FF2B5EF4-FFF2-40B4-BE49-F238E27FC236}">
              <a16:creationId xmlns:a16="http://schemas.microsoft.com/office/drawing/2014/main" id="{A753910A-047F-43BA-B0D7-0101CC29BB40}"/>
            </a:ext>
          </a:extLst>
        </xdr:cNvPr>
        <xdr:cNvSpPr txBox="1"/>
      </xdr:nvSpPr>
      <xdr:spPr>
        <a:xfrm>
          <a:off x="11509308" y="21146502"/>
          <a:ext cx="13437971" cy="771626"/>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L. Calculate the sum of</a:t>
          </a:r>
          <a:r>
            <a:rPr lang="en-US" sz="2000" baseline="0">
              <a:solidFill>
                <a:schemeClr val="dk1"/>
              </a:solidFill>
              <a:effectLst/>
              <a:latin typeface="+mn-lt"/>
              <a:ea typeface="+mn-ea"/>
              <a:cs typeface="+mn-cs"/>
            </a:rPr>
            <a:t> all bonuses for the TOP 3 salaries found in J57.</a:t>
          </a:r>
        </a:p>
        <a:p>
          <a:pPr marL="0" marR="0" lvl="0" indent="0" defTabSz="914400" rtl="0" eaLnBrk="1" fontAlgn="auto" latinLnBrk="0" hangingPunct="1">
            <a:lnSpc>
              <a:spcPct val="100000"/>
            </a:lnSpc>
            <a:spcBef>
              <a:spcPts val="0"/>
            </a:spcBef>
            <a:spcAft>
              <a:spcPts val="0"/>
            </a:spcAft>
            <a:buClrTx/>
            <a:buSzTx/>
            <a:buFontTx/>
            <a:buNone/>
            <a:tabLst/>
            <a:defRPr/>
          </a:pPr>
          <a:endParaRPr lang="en-US" sz="200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fr-FR" sz="20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390525</xdr:colOff>
      <xdr:row>42</xdr:row>
      <xdr:rowOff>47625</xdr:rowOff>
    </xdr:from>
    <xdr:to>
      <xdr:col>9</xdr:col>
      <xdr:colOff>400050</xdr:colOff>
      <xdr:row>44</xdr:row>
      <xdr:rowOff>133350</xdr:rowOff>
    </xdr:to>
    <xdr:cxnSp macro="">
      <xdr:nvCxnSpPr>
        <xdr:cNvPr id="3" name="Connecteur droit avec flèche 2">
          <a:extLst>
            <a:ext uri="{FF2B5EF4-FFF2-40B4-BE49-F238E27FC236}">
              <a16:creationId xmlns:a16="http://schemas.microsoft.com/office/drawing/2014/main" id="{9C1F1918-3AE9-5E61-B518-6386CEC70BC7}"/>
            </a:ext>
          </a:extLst>
        </xdr:cNvPr>
        <xdr:cNvCxnSpPr/>
      </xdr:nvCxnSpPr>
      <xdr:spPr>
        <a:xfrm flipH="1" flipV="1">
          <a:off x="7391400" y="7829550"/>
          <a:ext cx="9525" cy="46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504825</xdr:colOff>
      <xdr:row>42</xdr:row>
      <xdr:rowOff>47625</xdr:rowOff>
    </xdr:from>
    <xdr:to>
      <xdr:col>3</xdr:col>
      <xdr:colOff>514350</xdr:colOff>
      <xdr:row>44</xdr:row>
      <xdr:rowOff>133350</xdr:rowOff>
    </xdr:to>
    <xdr:cxnSp macro="">
      <xdr:nvCxnSpPr>
        <xdr:cNvPr id="4" name="Connecteur droit avec flèche 3">
          <a:extLst>
            <a:ext uri="{FF2B5EF4-FFF2-40B4-BE49-F238E27FC236}">
              <a16:creationId xmlns:a16="http://schemas.microsoft.com/office/drawing/2014/main" id="{285F5840-6853-45E0-9EC5-8D189A04AAE2}"/>
            </a:ext>
          </a:extLst>
        </xdr:cNvPr>
        <xdr:cNvCxnSpPr/>
      </xdr:nvCxnSpPr>
      <xdr:spPr>
        <a:xfrm flipH="1" flipV="1">
          <a:off x="2838450" y="7829550"/>
          <a:ext cx="9525" cy="46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125730</xdr:colOff>
      <xdr:row>2</xdr:row>
      <xdr:rowOff>53340</xdr:rowOff>
    </xdr:from>
    <xdr:to>
      <xdr:col>20</xdr:col>
      <xdr:colOff>167640</xdr:colOff>
      <xdr:row>22</xdr:row>
      <xdr:rowOff>180975</xdr:rowOff>
    </xdr:to>
    <xdr:sp macro="" textlink="">
      <xdr:nvSpPr>
        <xdr:cNvPr id="2" name="TextBox 1">
          <a:extLst>
            <a:ext uri="{FF2B5EF4-FFF2-40B4-BE49-F238E27FC236}">
              <a16:creationId xmlns:a16="http://schemas.microsoft.com/office/drawing/2014/main" id="{7FD230A0-975B-036C-30F9-15DDA3ED1CA2}"/>
            </a:ext>
          </a:extLst>
        </xdr:cNvPr>
        <xdr:cNvSpPr txBox="1"/>
      </xdr:nvSpPr>
      <xdr:spPr>
        <a:xfrm>
          <a:off x="14003655" y="853440"/>
          <a:ext cx="3947160" cy="4632960"/>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A. Create a formula using RANK.EQ() in column c that displays the rank of the security level (column B).</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1">
              <a:solidFill>
                <a:schemeClr val="dk1"/>
              </a:solidFill>
              <a:effectLst/>
              <a:latin typeface="+mn-lt"/>
              <a:ea typeface="+mn-ea"/>
              <a:cs typeface="+mn-cs"/>
            </a:rPr>
          </a:br>
          <a:r>
            <a:rPr lang="en-US" sz="1400" b="1">
              <a:solidFill>
                <a:schemeClr val="dk1"/>
              </a:solidFill>
              <a:effectLst/>
              <a:latin typeface="+mn-lt"/>
              <a:ea typeface="+mn-ea"/>
              <a:cs typeface="+mn-cs"/>
            </a:rPr>
            <a:t>B. Create another ranking column (in J) for the bonus rank awarded in column I.</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1">
              <a:solidFill>
                <a:schemeClr val="dk1"/>
              </a:solidFill>
              <a:effectLst/>
              <a:latin typeface="+mn-lt"/>
              <a:ea typeface="+mn-ea"/>
              <a:cs typeface="+mn-cs"/>
            </a:rPr>
          </a:br>
          <a:r>
            <a:rPr lang="en-US" sz="1400" b="1">
              <a:solidFill>
                <a:schemeClr val="dk1"/>
              </a:solidFill>
              <a:effectLst/>
              <a:latin typeface="+mn-lt"/>
              <a:ea typeface="+mn-ea"/>
              <a:cs typeface="+mn-cs"/>
            </a:rPr>
            <a:t>C. Create a matrix with different years to evaluate the distribution of birth years in column H.</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Create</a:t>
          </a:r>
          <a:r>
            <a:rPr lang="en-US" sz="1400" b="1" baseline="0">
              <a:solidFill>
                <a:schemeClr val="dk1"/>
              </a:solidFill>
              <a:effectLst/>
              <a:latin typeface="+mn-lt"/>
              <a:ea typeface="+mn-ea"/>
              <a:cs typeface="+mn-cs"/>
            </a:rPr>
            <a:t> a list of bins grouped by decades then use the frequency function to </a:t>
          </a:r>
          <a:endParaRPr lang="en-US" sz="1400" b="1">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aggregate the number of values present</a:t>
          </a:r>
          <a:r>
            <a:rPr lang="en-US" sz="1400" b="1" baseline="0">
              <a:solidFill>
                <a:schemeClr val="dk1"/>
              </a:solidFill>
              <a:effectLst/>
              <a:latin typeface="+mn-lt"/>
              <a:ea typeface="+mn-ea"/>
              <a:cs typeface="+mn-cs"/>
            </a:rPr>
            <a:t> in every decade.</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1">
              <a:solidFill>
                <a:schemeClr val="dk1"/>
              </a:solidFill>
              <a:effectLst/>
              <a:latin typeface="+mn-lt"/>
              <a:ea typeface="+mn-ea"/>
              <a:cs typeface="+mn-cs"/>
            </a:rPr>
          </a:br>
          <a:r>
            <a:rPr lang="en-US" sz="1400" b="1">
              <a:solidFill>
                <a:schemeClr val="dk1"/>
              </a:solidFill>
              <a:effectLst/>
              <a:latin typeface="+mn-lt"/>
              <a:ea typeface="+mn-ea"/>
              <a:cs typeface="+mn-cs"/>
            </a:rPr>
            <a:t>D. Repeat the same operation to display the bonus distribution in column I.</a:t>
          </a:r>
          <a:endParaRPr lang="fr-FR" sz="1400" b="1">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FR" sz="1400" b="1">
              <a:effectLst/>
            </a:rPr>
            <a:t>Create a list</a:t>
          </a:r>
          <a:r>
            <a:rPr lang="fr-FR" sz="1400" b="1" baseline="0">
              <a:effectLst/>
            </a:rPr>
            <a:t> of bins from 3000 to 8000.</a:t>
          </a:r>
          <a:endParaRPr lang="fr-FR" sz="1400" b="1">
            <a:effectLst/>
          </a:endParaRPr>
        </a:p>
        <a:p>
          <a:endParaRPr lang="fr-FR" sz="1400" b="1"/>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245745</xdr:colOff>
      <xdr:row>16</xdr:row>
      <xdr:rowOff>76199</xdr:rowOff>
    </xdr:from>
    <xdr:to>
      <xdr:col>4</xdr:col>
      <xdr:colOff>230505</xdr:colOff>
      <xdr:row>17</xdr:row>
      <xdr:rowOff>171449</xdr:rowOff>
    </xdr:to>
    <xdr:sp macro="" textlink="$Q$5">
      <xdr:nvSpPr>
        <xdr:cNvPr id="2" name="Callout: Bent Line with Accent Bar 1">
          <a:extLst>
            <a:ext uri="{FF2B5EF4-FFF2-40B4-BE49-F238E27FC236}">
              <a16:creationId xmlns:a16="http://schemas.microsoft.com/office/drawing/2014/main" id="{58E79E29-CB47-125C-882A-4E0928CA789F}"/>
            </a:ext>
          </a:extLst>
        </xdr:cNvPr>
        <xdr:cNvSpPr/>
      </xdr:nvSpPr>
      <xdr:spPr>
        <a:xfrm flipH="1">
          <a:off x="245745" y="3438524"/>
          <a:ext cx="3728085" cy="276225"/>
        </a:xfrm>
        <a:prstGeom prst="accentCallout2">
          <a:avLst>
            <a:gd name="adj1" fmla="val 18750"/>
            <a:gd name="adj2" fmla="val -8333"/>
            <a:gd name="adj3" fmla="val 21828"/>
            <a:gd name="adj4" fmla="val -44771"/>
            <a:gd name="adj5" fmla="val -291659"/>
            <a:gd name="adj6" fmla="val -5880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481E946-309D-4A05-9814-26C2C95C8A81}" type="TxLink">
            <a:rPr lang="en-US" sz="1400" b="1" i="0" u="none" strike="noStrike">
              <a:solidFill>
                <a:srgbClr val="32A056"/>
              </a:solidFill>
              <a:latin typeface="Calibri"/>
              <a:ea typeface="Calibri"/>
              <a:cs typeface="Calibri"/>
            </a:rPr>
            <a:pPr algn="l"/>
            <a:t>=LET(var;(C6+D6)/E6-1;IF(var&gt;10%;var;""))</a:t>
          </a:fld>
          <a:endParaRPr lang="en-US" sz="1100"/>
        </a:p>
      </xdr:txBody>
    </xdr:sp>
    <xdr:clientData/>
  </xdr:twoCellAnchor>
  <xdr:twoCellAnchor>
    <xdr:from>
      <xdr:col>8</xdr:col>
      <xdr:colOff>630555</xdr:colOff>
      <xdr:row>15</xdr:row>
      <xdr:rowOff>102869</xdr:rowOff>
    </xdr:from>
    <xdr:to>
      <xdr:col>11</xdr:col>
      <xdr:colOff>76200</xdr:colOff>
      <xdr:row>17</xdr:row>
      <xdr:rowOff>93344</xdr:rowOff>
    </xdr:to>
    <xdr:sp macro="" textlink="$Q$6">
      <xdr:nvSpPr>
        <xdr:cNvPr id="3" name="Callout: Bent Line with Accent Bar 2">
          <a:extLst>
            <a:ext uri="{FF2B5EF4-FFF2-40B4-BE49-F238E27FC236}">
              <a16:creationId xmlns:a16="http://schemas.microsoft.com/office/drawing/2014/main" id="{A8B4FA68-E521-4732-9BEA-9649A766A32E}"/>
            </a:ext>
          </a:extLst>
        </xdr:cNvPr>
        <xdr:cNvSpPr/>
      </xdr:nvSpPr>
      <xdr:spPr>
        <a:xfrm>
          <a:off x="8974455" y="3284219"/>
          <a:ext cx="4531995" cy="352425"/>
        </a:xfrm>
        <a:prstGeom prst="accentCallout2">
          <a:avLst>
            <a:gd name="adj1" fmla="val 18750"/>
            <a:gd name="adj2" fmla="val -8333"/>
            <a:gd name="adj3" fmla="val -25032"/>
            <a:gd name="adj4" fmla="val -28899"/>
            <a:gd name="adj5" fmla="val -266571"/>
            <a:gd name="adj6" fmla="val -29062"/>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EF19C29-D622-4DF8-A694-C6E83F52D5ED}" type="TxLink">
            <a:rPr lang="en-US" sz="1400" b="1" i="0" u="none" strike="noStrike">
              <a:solidFill>
                <a:srgbClr val="32A056"/>
              </a:solidFill>
              <a:latin typeface="Calibri"/>
              <a:ea typeface="Calibri"/>
              <a:cs typeface="Calibri"/>
            </a:rPr>
            <a:pPr marL="0" indent="0" algn="l"/>
            <a:t>=LET(num;C6+D6-E6;denom;E6;ROUND(num/denom;2))</a:t>
          </a:fld>
          <a:endParaRPr lang="en-US" sz="1400" b="1" i="0" u="none" strike="noStrike">
            <a:solidFill>
              <a:srgbClr val="32A056"/>
            </a:solidFill>
            <a:latin typeface="Calibri"/>
            <a:ea typeface="Calibri"/>
            <a:cs typeface="Calibri"/>
          </a:endParaRPr>
        </a:p>
      </xdr:txBody>
    </xdr:sp>
    <xdr:clientData/>
  </xdr:twoCellAnchor>
  <xdr:twoCellAnchor>
    <xdr:from>
      <xdr:col>8</xdr:col>
      <xdr:colOff>514350</xdr:colOff>
      <xdr:row>35</xdr:row>
      <xdr:rowOff>133349</xdr:rowOff>
    </xdr:from>
    <xdr:to>
      <xdr:col>10</xdr:col>
      <xdr:colOff>1600200</xdr:colOff>
      <xdr:row>37</xdr:row>
      <xdr:rowOff>104774</xdr:rowOff>
    </xdr:to>
    <xdr:sp macro="" textlink="$Q$24">
      <xdr:nvSpPr>
        <xdr:cNvPr id="4" name="Callout: Bent Line with Accent Bar 3">
          <a:extLst>
            <a:ext uri="{FF2B5EF4-FFF2-40B4-BE49-F238E27FC236}">
              <a16:creationId xmlns:a16="http://schemas.microsoft.com/office/drawing/2014/main" id="{08F22755-E188-4B1F-A55B-AF6949FAD3B5}"/>
            </a:ext>
          </a:extLst>
        </xdr:cNvPr>
        <xdr:cNvSpPr/>
      </xdr:nvSpPr>
      <xdr:spPr>
        <a:xfrm>
          <a:off x="8629650" y="7762874"/>
          <a:ext cx="4381500" cy="352425"/>
        </a:xfrm>
        <a:prstGeom prst="accentCallout2">
          <a:avLst>
            <a:gd name="adj1" fmla="val 18750"/>
            <a:gd name="adj2" fmla="val -8333"/>
            <a:gd name="adj3" fmla="val 21453"/>
            <a:gd name="adj4" fmla="val -23709"/>
            <a:gd name="adj5" fmla="val -319354"/>
            <a:gd name="adj6" fmla="val -2856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711E04E-B1AE-4F33-9E0D-02D78B4DFD3E}" type="TxLink">
            <a:rPr lang="en-US" sz="1400" b="1" i="0" u="none" strike="noStrike">
              <a:solidFill>
                <a:srgbClr val="32A056"/>
              </a:solidFill>
              <a:latin typeface="Calibri"/>
              <a:ea typeface="Calibri"/>
              <a:cs typeface="Calibri"/>
            </a:rPr>
            <a:pPr marL="0" indent="0" algn="l"/>
            <a:t>=LET(avg;ROUND(AVERAGE(D$22:D$31);0);variation;E22-avg;IF(D22&gt;avg;$Y$5;$Y$6)&amp;variation)</a:t>
          </a:fld>
          <a:endParaRPr lang="en-US" sz="1400" b="1" i="0" u="none" strike="noStrike">
            <a:solidFill>
              <a:srgbClr val="32A056"/>
            </a:solidFill>
            <a:latin typeface="Calibri"/>
            <a:ea typeface="Calibri"/>
            <a:cs typeface="Calibri"/>
          </a:endParaRPr>
        </a:p>
      </xdr:txBody>
    </xdr:sp>
    <xdr:clientData/>
  </xdr:twoCellAnchor>
  <xdr:twoCellAnchor>
    <xdr:from>
      <xdr:col>9</xdr:col>
      <xdr:colOff>1019175</xdr:colOff>
      <xdr:row>31</xdr:row>
      <xdr:rowOff>209549</xdr:rowOff>
    </xdr:from>
    <xdr:to>
      <xdr:col>14</xdr:col>
      <xdr:colOff>247650</xdr:colOff>
      <xdr:row>33</xdr:row>
      <xdr:rowOff>85724</xdr:rowOff>
    </xdr:to>
    <xdr:sp macro="" textlink="$Q$25">
      <xdr:nvSpPr>
        <xdr:cNvPr id="5" name="Callout: Bent Line with Accent Bar 4">
          <a:extLst>
            <a:ext uri="{FF2B5EF4-FFF2-40B4-BE49-F238E27FC236}">
              <a16:creationId xmlns:a16="http://schemas.microsoft.com/office/drawing/2014/main" id="{BEAD30CA-1739-49B1-BB6F-528BA7A56DA4}"/>
            </a:ext>
          </a:extLst>
        </xdr:cNvPr>
        <xdr:cNvSpPr/>
      </xdr:nvSpPr>
      <xdr:spPr>
        <a:xfrm>
          <a:off x="10782300" y="6981824"/>
          <a:ext cx="4381500" cy="352425"/>
        </a:xfrm>
        <a:prstGeom prst="accentCallout2">
          <a:avLst>
            <a:gd name="adj1" fmla="val 18750"/>
            <a:gd name="adj2" fmla="val -8333"/>
            <a:gd name="adj3" fmla="val 21453"/>
            <a:gd name="adj4" fmla="val -23709"/>
            <a:gd name="adj5" fmla="val -111246"/>
            <a:gd name="adj6" fmla="val -2878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ABC2155-1745-4E30-B19A-F5A2957293D8}" type="TxLink">
            <a:rPr lang="en-US" sz="1400" b="1" i="0" u="none" strike="noStrike">
              <a:solidFill>
                <a:srgbClr val="32A056"/>
              </a:solidFill>
              <a:latin typeface="Calibri"/>
              <a:ea typeface="Calibri"/>
              <a:cs typeface="Calibri"/>
            </a:rPr>
            <a:pPr marL="0" indent="0" algn="l"/>
            <a:t>=LET(avg;ROUND(AVERAGE(G$22:G$31);0);variation;G22-avg;signevar;IF(variation &gt; 0;"+";"");perc;" ("&amp;signevar&amp;ROUND(variation/avg*100;2)&amp;"%)";IF(G22&gt;avg;$Y$5&amp;signevar;$Y$6) &amp; variation &amp; perc)</a:t>
          </a:fld>
          <a:endParaRPr lang="en-US" sz="1400" b="1" i="0" u="none" strike="noStrike">
            <a:solidFill>
              <a:srgbClr val="32A056"/>
            </a:solidFill>
            <a:latin typeface="Calibri"/>
            <a:ea typeface="Calibri"/>
            <a:cs typeface="Calibri"/>
          </a:endParaRPr>
        </a:p>
      </xdr:txBody>
    </xdr:sp>
    <xdr:clientData/>
  </xdr:twoCellAnchor>
  <xdr:twoCellAnchor>
    <xdr:from>
      <xdr:col>8</xdr:col>
      <xdr:colOff>339090</xdr:colOff>
      <xdr:row>5</xdr:row>
      <xdr:rowOff>19051</xdr:rowOff>
    </xdr:from>
    <xdr:to>
      <xdr:col>11</xdr:col>
      <xdr:colOff>561975</xdr:colOff>
      <xdr:row>12</xdr:row>
      <xdr:rowOff>129540</xdr:rowOff>
    </xdr:to>
    <xdr:sp macro="" textlink="">
      <xdr:nvSpPr>
        <xdr:cNvPr id="6" name="TextBox 5">
          <a:extLst>
            <a:ext uri="{FF2B5EF4-FFF2-40B4-BE49-F238E27FC236}">
              <a16:creationId xmlns:a16="http://schemas.microsoft.com/office/drawing/2014/main" id="{4EE7ED49-9B95-79BD-44D1-04E07D851CB5}"/>
            </a:ext>
          </a:extLst>
        </xdr:cNvPr>
        <xdr:cNvSpPr txBox="1"/>
      </xdr:nvSpPr>
      <xdr:spPr>
        <a:xfrm>
          <a:off x="8682990" y="1390651"/>
          <a:ext cx="5309235" cy="1377314"/>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A. In column H, insert a LET function that calculates the diffference</a:t>
          </a:r>
          <a:r>
            <a:rPr lang="en-US" sz="1600" baseline="0">
              <a:solidFill>
                <a:schemeClr val="dk1"/>
              </a:solidFill>
              <a:effectLst/>
              <a:latin typeface="+mn-lt"/>
              <a:ea typeface="+mn-ea"/>
              <a:cs typeface="+mn-cs"/>
            </a:rPr>
            <a:t> </a:t>
          </a:r>
          <a:r>
            <a:rPr lang="en-US" sz="1600">
              <a:solidFill>
                <a:schemeClr val="dk1"/>
              </a:solidFill>
              <a:effectLst/>
              <a:latin typeface="+mn-lt"/>
              <a:ea typeface="+mn-ea"/>
              <a:cs typeface="+mn-cs"/>
            </a:rPr>
            <a:t>of gold medals from the average rank (ROWS 1 to15). </a:t>
          </a:r>
        </a:p>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Round the display to 0 decimals. </a:t>
          </a:r>
        </a:p>
      </xdr:txBody>
    </xdr:sp>
    <xdr:clientData/>
  </xdr:twoCellAnchor>
  <xdr:twoCellAnchor>
    <xdr:from>
      <xdr:col>9</xdr:col>
      <xdr:colOff>853440</xdr:colOff>
      <xdr:row>19</xdr:row>
      <xdr:rowOff>95251</xdr:rowOff>
    </xdr:from>
    <xdr:to>
      <xdr:col>20</xdr:col>
      <xdr:colOff>209550</xdr:colOff>
      <xdr:row>30</xdr:row>
      <xdr:rowOff>161925</xdr:rowOff>
    </xdr:to>
    <xdr:sp macro="" textlink="">
      <xdr:nvSpPr>
        <xdr:cNvPr id="7" name="TextBox 6">
          <a:extLst>
            <a:ext uri="{FF2B5EF4-FFF2-40B4-BE49-F238E27FC236}">
              <a16:creationId xmlns:a16="http://schemas.microsoft.com/office/drawing/2014/main" id="{C0DA3EB7-56B9-AF4F-A88C-89E13BBAA1B1}"/>
            </a:ext>
          </a:extLst>
        </xdr:cNvPr>
        <xdr:cNvSpPr txBox="1"/>
      </xdr:nvSpPr>
      <xdr:spPr>
        <a:xfrm>
          <a:off x="10892790" y="4000501"/>
          <a:ext cx="8433435" cy="2533649"/>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Insert the two symbols ▲ and ▼ in Y5 and Y6.</a:t>
          </a:r>
          <a:br>
            <a:rPr lang="en-US" sz="1600">
              <a:solidFill>
                <a:schemeClr val="dk1"/>
              </a:solidFill>
              <a:effectLst/>
              <a:latin typeface="+mn-lt"/>
              <a:ea typeface="+mn-ea"/>
              <a:cs typeface="+mn-cs"/>
            </a:rPr>
          </a:br>
          <a:endParaRPr lang="en-US" sz="16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B.Using</a:t>
          </a:r>
          <a:r>
            <a:rPr lang="en-US" sz="1600" baseline="0">
              <a:solidFill>
                <a:schemeClr val="dk1"/>
              </a:solidFill>
              <a:effectLst/>
              <a:latin typeface="+mn-lt"/>
              <a:ea typeface="+mn-ea"/>
              <a:cs typeface="+mn-cs"/>
            </a:rPr>
            <a:t> LET(), create 2 variables : </a:t>
          </a:r>
        </a:p>
        <a:p>
          <a:pPr marL="0" marR="0" lvl="0" indent="0" defTabSz="914400" rtl="0" eaLnBrk="1" fontAlgn="auto" latinLnBrk="0" hangingPunct="1">
            <a:lnSpc>
              <a:spcPct val="100000"/>
            </a:lnSpc>
            <a:spcBef>
              <a:spcPts val="0"/>
            </a:spcBef>
            <a:spcAft>
              <a:spcPts val="0"/>
            </a:spcAft>
            <a:buClrTx/>
            <a:buSzTx/>
            <a:buFontTx/>
            <a:buNone/>
            <a:tabLst/>
            <a:defRPr/>
          </a:pPr>
          <a:r>
            <a:rPr lang="en-US" sz="1600" baseline="0">
              <a:solidFill>
                <a:schemeClr val="dk1"/>
              </a:solidFill>
              <a:effectLst/>
              <a:latin typeface="+mn-lt"/>
              <a:ea typeface="+mn-ea"/>
              <a:cs typeface="+mn-cs"/>
            </a:rPr>
            <a:t>- </a:t>
          </a:r>
          <a:r>
            <a:rPr lang="en-US" sz="1600">
              <a:solidFill>
                <a:schemeClr val="dk1"/>
              </a:solidFill>
              <a:effectLst/>
              <a:latin typeface="+mn-lt"/>
              <a:ea typeface="+mn-ea"/>
              <a:cs typeface="+mn-cs"/>
            </a:rPr>
            <a:t>avg:</a:t>
          </a:r>
          <a:r>
            <a:rPr lang="en-US" sz="1600" baseline="0">
              <a:solidFill>
                <a:schemeClr val="dk1"/>
              </a:solidFill>
              <a:effectLst/>
              <a:latin typeface="+mn-lt"/>
              <a:ea typeface="+mn-ea"/>
              <a:cs typeface="+mn-cs"/>
            </a:rPr>
            <a:t> the average value of the gold column.</a:t>
          </a:r>
        </a:p>
        <a:p>
          <a:pPr marL="0" marR="0" lvl="0" indent="0" defTabSz="914400" rtl="0" eaLnBrk="1" fontAlgn="auto" latinLnBrk="0" hangingPunct="1">
            <a:lnSpc>
              <a:spcPct val="100000"/>
            </a:lnSpc>
            <a:spcBef>
              <a:spcPts val="0"/>
            </a:spcBef>
            <a:spcAft>
              <a:spcPts val="0"/>
            </a:spcAft>
            <a:buClrTx/>
            <a:buSzTx/>
            <a:buFontTx/>
            <a:buNone/>
            <a:tabLst/>
            <a:defRPr/>
          </a:pPr>
          <a:r>
            <a:rPr lang="en-US" sz="1600" baseline="0">
              <a:solidFill>
                <a:schemeClr val="dk1"/>
              </a:solidFill>
              <a:effectLst/>
              <a:latin typeface="+mn-lt"/>
              <a:ea typeface="+mn-ea"/>
              <a:cs typeface="+mn-cs"/>
            </a:rPr>
            <a:t>- variation: </a:t>
          </a:r>
          <a:r>
            <a:rPr lang="en-US" sz="1600">
              <a:solidFill>
                <a:schemeClr val="dk1"/>
              </a:solidFill>
              <a:effectLst/>
              <a:latin typeface="+mn-lt"/>
              <a:ea typeface="+mn-ea"/>
              <a:cs typeface="+mn-cs"/>
            </a:rPr>
            <a:t>difference between the number of gold medals and avg.</a:t>
          </a:r>
        </a:p>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then display the variation variable preceded by ▲ if it is positive or ▼ otherwise.</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6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Create</a:t>
          </a:r>
          <a:r>
            <a:rPr lang="en-US" sz="1600" baseline="0">
              <a:solidFill>
                <a:schemeClr val="dk1"/>
              </a:solidFill>
              <a:effectLst/>
              <a:latin typeface="+mn-lt"/>
              <a:ea typeface="+mn-ea"/>
              <a:cs typeface="+mn-cs"/>
            </a:rPr>
            <a:t> a conditional formatting rule that prints positive values in green (red if negative).</a:t>
          </a:r>
          <a:endParaRPr lang="en-US" sz="1600">
            <a:solidFill>
              <a:schemeClr val="dk1"/>
            </a:solidFill>
            <a:effectLst/>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4</xdr:col>
      <xdr:colOff>1183005</xdr:colOff>
      <xdr:row>11</xdr:row>
      <xdr:rowOff>114300</xdr:rowOff>
    </xdr:from>
    <xdr:ext cx="4000500" cy="533399"/>
    <mc:AlternateContent xmlns:mc="http://schemas.openxmlformats.org/markup-compatibility/2006">
      <mc:Choice xmlns:a14="http://schemas.microsoft.com/office/drawing/2010/main" Requires="a14">
        <xdr:sp macro="" textlink="">
          <xdr:nvSpPr>
            <xdr:cNvPr id="2" name="ZoneTexte 1">
              <a:extLst>
                <a:ext uri="{FF2B5EF4-FFF2-40B4-BE49-F238E27FC236}">
                  <a16:creationId xmlns:a16="http://schemas.microsoft.com/office/drawing/2014/main" id="{A4DB1766-86BF-4623-AAA5-309C3BEFD871}"/>
                </a:ext>
              </a:extLst>
            </xdr:cNvPr>
            <xdr:cNvSpPr txBox="1"/>
          </xdr:nvSpPr>
          <xdr:spPr>
            <a:xfrm>
              <a:off x="4497705" y="3209925"/>
              <a:ext cx="4000500" cy="53339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fr-CH" sz="2000" b="0" i="0">
                  <a:solidFill>
                    <a:schemeClr val="tx1"/>
                  </a:solidFill>
                  <a:latin typeface="Cambria Math" panose="02040503050406030204" pitchFamily="18" charset="0"/>
                  <a:ea typeface="+mn-ea"/>
                  <a:cs typeface="+mn-cs"/>
                </a:rPr>
                <a:t>SQRTOfCubes </a:t>
              </a:r>
              <a14:m>
                <m:oMath xmlns:m="http://schemas.openxmlformats.org/officeDocument/2006/math">
                  <m:r>
                    <a:rPr lang="fr-CH" sz="2000" i="1">
                      <a:latin typeface="Cambria Math" panose="02040503050406030204" pitchFamily="18" charset="0"/>
                    </a:rPr>
                    <m:t>=</m:t>
                  </m:r>
                  <m:rad>
                    <m:radPr>
                      <m:degHide m:val="on"/>
                      <m:ctrlPr>
                        <a:rPr lang="fr-CH" sz="2000" i="1">
                          <a:latin typeface="Cambria Math" panose="02040503050406030204" pitchFamily="18" charset="0"/>
                        </a:rPr>
                      </m:ctrlPr>
                    </m:radPr>
                    <m:deg/>
                    <m:e>
                      <m:sSup>
                        <m:sSupPr>
                          <m:ctrlPr>
                            <a:rPr lang="fr-CH" sz="2000" i="1">
                              <a:latin typeface="Cambria Math" panose="02040503050406030204" pitchFamily="18" charset="0"/>
                            </a:rPr>
                          </m:ctrlPr>
                        </m:sSupPr>
                        <m:e>
                          <m:r>
                            <a:rPr lang="fr-CH" sz="2000" i="1">
                              <a:latin typeface="Cambria Math" panose="02040503050406030204" pitchFamily="18" charset="0"/>
                            </a:rPr>
                            <m:t>𝑎</m:t>
                          </m:r>
                        </m:e>
                        <m:sup>
                          <m:r>
                            <a:rPr lang="fr-CH" sz="2000" b="0" i="1">
                              <a:latin typeface="Cambria Math" panose="02040503050406030204" pitchFamily="18" charset="0"/>
                            </a:rPr>
                            <m:t>3</m:t>
                          </m:r>
                        </m:sup>
                      </m:sSup>
                      <m:r>
                        <a:rPr lang="fr-CH" sz="2000" i="1">
                          <a:latin typeface="Cambria Math" panose="02040503050406030204" pitchFamily="18" charset="0"/>
                        </a:rPr>
                        <m:t>+</m:t>
                      </m:r>
                      <m:sSup>
                        <m:sSupPr>
                          <m:ctrlPr>
                            <a:rPr lang="fr-CH" sz="2000" i="1">
                              <a:latin typeface="Cambria Math" panose="02040503050406030204" pitchFamily="18" charset="0"/>
                            </a:rPr>
                          </m:ctrlPr>
                        </m:sSupPr>
                        <m:e>
                          <m:r>
                            <a:rPr lang="fr-CH" sz="2000" i="1">
                              <a:latin typeface="Cambria Math" panose="02040503050406030204" pitchFamily="18" charset="0"/>
                            </a:rPr>
                            <m:t>𝑏</m:t>
                          </m:r>
                        </m:e>
                        <m:sup>
                          <m:r>
                            <a:rPr lang="fr-CH" sz="2000" b="0" i="1">
                              <a:latin typeface="Cambria Math" panose="02040503050406030204" pitchFamily="18" charset="0"/>
                            </a:rPr>
                            <m:t>3</m:t>
                          </m:r>
                        </m:sup>
                      </m:sSup>
                    </m:e>
                  </m:rad>
                </m:oMath>
              </a14:m>
              <a:endParaRPr lang="fr-CH" sz="2000"/>
            </a:p>
          </xdr:txBody>
        </xdr:sp>
      </mc:Choice>
      <mc:Fallback>
        <xdr:sp macro="" textlink="">
          <xdr:nvSpPr>
            <xdr:cNvPr id="2" name="ZoneTexte 1">
              <a:extLst>
                <a:ext uri="{FF2B5EF4-FFF2-40B4-BE49-F238E27FC236}">
                  <a16:creationId xmlns:a16="http://schemas.microsoft.com/office/drawing/2014/main" id="{A4DB1766-86BF-4623-AAA5-309C3BEFD871}"/>
                </a:ext>
              </a:extLst>
            </xdr:cNvPr>
            <xdr:cNvSpPr txBox="1"/>
          </xdr:nvSpPr>
          <xdr:spPr>
            <a:xfrm>
              <a:off x="4497705" y="3209925"/>
              <a:ext cx="4000500" cy="53339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fr-CH" sz="2000" b="0" i="0">
                  <a:solidFill>
                    <a:schemeClr val="tx1"/>
                  </a:solidFill>
                  <a:latin typeface="Cambria Math" panose="02040503050406030204" pitchFamily="18" charset="0"/>
                  <a:ea typeface="+mn-ea"/>
                  <a:cs typeface="+mn-cs"/>
                </a:rPr>
                <a:t>SQRTOfCubes </a:t>
              </a:r>
              <a:r>
                <a:rPr lang="fr-CH" sz="2000" i="0">
                  <a:latin typeface="Cambria Math" panose="02040503050406030204" pitchFamily="18" charset="0"/>
                </a:rPr>
                <a:t>=√(𝑎^</a:t>
              </a:r>
              <a:r>
                <a:rPr lang="fr-CH" sz="2000" b="0" i="0">
                  <a:latin typeface="Cambria Math" panose="02040503050406030204" pitchFamily="18" charset="0"/>
                </a:rPr>
                <a:t>3</a:t>
              </a:r>
              <a:r>
                <a:rPr lang="fr-CH" sz="2000" i="0">
                  <a:latin typeface="Cambria Math" panose="02040503050406030204" pitchFamily="18" charset="0"/>
                </a:rPr>
                <a:t>+𝑏^</a:t>
              </a:r>
              <a:r>
                <a:rPr lang="fr-CH" sz="2000" b="0" i="0">
                  <a:latin typeface="Cambria Math" panose="02040503050406030204" pitchFamily="18" charset="0"/>
                </a:rPr>
                <a:t>3 )</a:t>
              </a:r>
              <a:endParaRPr lang="fr-CH" sz="2000"/>
            </a:p>
          </xdr:txBody>
        </xdr:sp>
      </mc:Fallback>
    </mc:AlternateContent>
    <xdr:clientData/>
  </xdr:oneCellAnchor>
  <xdr:oneCellAnchor>
    <xdr:from>
      <xdr:col>4</xdr:col>
      <xdr:colOff>24765</xdr:colOff>
      <xdr:row>28</xdr:row>
      <xdr:rowOff>182880</xdr:rowOff>
    </xdr:from>
    <xdr:ext cx="4019550" cy="533399"/>
    <mc:AlternateContent xmlns:mc="http://schemas.openxmlformats.org/markup-compatibility/2006">
      <mc:Choice xmlns:a14="http://schemas.microsoft.com/office/drawing/2010/main" Requires="a14">
        <xdr:sp macro="" textlink="">
          <xdr:nvSpPr>
            <xdr:cNvPr id="3" name="ZoneTexte 2">
              <a:extLst>
                <a:ext uri="{FF2B5EF4-FFF2-40B4-BE49-F238E27FC236}">
                  <a16:creationId xmlns:a16="http://schemas.microsoft.com/office/drawing/2014/main" id="{BB052C1F-31DF-439F-9437-B409423642EE}"/>
                </a:ext>
              </a:extLst>
            </xdr:cNvPr>
            <xdr:cNvSpPr txBox="1"/>
          </xdr:nvSpPr>
          <xdr:spPr>
            <a:xfrm>
              <a:off x="3339465" y="8117205"/>
              <a:ext cx="4019550" cy="53339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fr-CH" sz="2000" i="0">
                  <a:latin typeface="+mn-lt"/>
                </a:rPr>
                <a:t>CalcAreaCircle</a:t>
              </a:r>
              <a14:m>
                <m:oMath xmlns:m="http://schemas.openxmlformats.org/officeDocument/2006/math">
                  <m:r>
                    <a:rPr lang="fr-CH" sz="2000" b="0" i="0">
                      <a:latin typeface="Cambria Math" panose="02040503050406030204" pitchFamily="18" charset="0"/>
                    </a:rPr>
                    <m:t> </m:t>
                  </m:r>
                  <m:r>
                    <a:rPr lang="fr-CH" sz="2000" i="1">
                      <a:latin typeface="Cambria Math" panose="02040503050406030204" pitchFamily="18" charset="0"/>
                    </a:rPr>
                    <m:t>=</m:t>
                  </m:r>
                </m:oMath>
              </a14:m>
              <a:r>
                <a:rPr lang="fr-CH" sz="2000"/>
                <a:t> </a:t>
              </a:r>
              <a14:m>
                <m:oMath xmlns:m="http://schemas.openxmlformats.org/officeDocument/2006/math">
                  <m:r>
                    <a:rPr lang="el-GR" sz="2000" i="1">
                      <a:latin typeface="Cambria Math" panose="02040503050406030204" pitchFamily="18" charset="0"/>
                    </a:rPr>
                    <m:t>𝜋</m:t>
                  </m:r>
                  <m:sSup>
                    <m:sSupPr>
                      <m:ctrlPr>
                        <a:rPr lang="fr-CH" sz="2000" i="1">
                          <a:latin typeface="Cambria Math" panose="02040503050406030204" pitchFamily="18" charset="0"/>
                        </a:rPr>
                      </m:ctrlPr>
                    </m:sSupPr>
                    <m:e>
                      <m:r>
                        <a:rPr lang="fr-CH" sz="2000" i="1">
                          <a:latin typeface="Cambria Math" panose="02040503050406030204" pitchFamily="18" charset="0"/>
                        </a:rPr>
                        <m:t>𝑟</m:t>
                      </m:r>
                    </m:e>
                    <m:sup>
                      <m:r>
                        <a:rPr lang="fr-CH" sz="2000" i="1">
                          <a:latin typeface="Cambria Math" panose="02040503050406030204" pitchFamily="18" charset="0"/>
                        </a:rPr>
                        <m:t>2</m:t>
                      </m:r>
                    </m:sup>
                  </m:sSup>
                </m:oMath>
              </a14:m>
              <a:endParaRPr lang="fr-CH" sz="2000"/>
            </a:p>
          </xdr:txBody>
        </xdr:sp>
      </mc:Choice>
      <mc:Fallback>
        <xdr:sp macro="" textlink="">
          <xdr:nvSpPr>
            <xdr:cNvPr id="3" name="ZoneTexte 2">
              <a:extLst>
                <a:ext uri="{FF2B5EF4-FFF2-40B4-BE49-F238E27FC236}">
                  <a16:creationId xmlns:a16="http://schemas.microsoft.com/office/drawing/2014/main" id="{BB052C1F-31DF-439F-9437-B409423642EE}"/>
                </a:ext>
              </a:extLst>
            </xdr:cNvPr>
            <xdr:cNvSpPr txBox="1"/>
          </xdr:nvSpPr>
          <xdr:spPr>
            <a:xfrm>
              <a:off x="3339465" y="8117205"/>
              <a:ext cx="4019550" cy="53339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fr-CH" sz="2000" i="0">
                  <a:latin typeface="+mn-lt"/>
                </a:rPr>
                <a:t>CalcAreaCircle</a:t>
              </a:r>
              <a:r>
                <a:rPr lang="fr-CH" sz="2000" b="0" i="0">
                  <a:latin typeface="Cambria Math" panose="02040503050406030204" pitchFamily="18" charset="0"/>
                </a:rPr>
                <a:t> </a:t>
              </a:r>
              <a:r>
                <a:rPr lang="fr-CH" sz="2000" i="0">
                  <a:latin typeface="Cambria Math" panose="02040503050406030204" pitchFamily="18" charset="0"/>
                </a:rPr>
                <a:t>=</a:t>
              </a:r>
              <a:r>
                <a:rPr lang="fr-CH" sz="2000"/>
                <a:t> </a:t>
              </a:r>
              <a:r>
                <a:rPr lang="el-GR" sz="2000" i="0">
                  <a:latin typeface="Cambria Math" panose="02040503050406030204" pitchFamily="18" charset="0"/>
                </a:rPr>
                <a:t>𝜋</a:t>
              </a:r>
              <a:r>
                <a:rPr lang="fr-CH" sz="2000" i="0">
                  <a:latin typeface="Cambria Math" panose="02040503050406030204" pitchFamily="18" charset="0"/>
                </a:rPr>
                <a:t>𝑟^2</a:t>
              </a:r>
              <a:endParaRPr lang="fr-CH" sz="2000"/>
            </a:p>
          </xdr:txBody>
        </xdr:sp>
      </mc:Fallback>
    </mc:AlternateContent>
    <xdr:clientData/>
  </xdr:oneCellAnchor>
  <xdr:twoCellAnchor>
    <xdr:from>
      <xdr:col>4</xdr:col>
      <xdr:colOff>632458</xdr:colOff>
      <xdr:row>6</xdr:row>
      <xdr:rowOff>234315</xdr:rowOff>
    </xdr:from>
    <xdr:to>
      <xdr:col>10</xdr:col>
      <xdr:colOff>55244</xdr:colOff>
      <xdr:row>10</xdr:row>
      <xdr:rowOff>196215</xdr:rowOff>
    </xdr:to>
    <xdr:sp macro="" textlink="">
      <xdr:nvSpPr>
        <xdr:cNvPr id="4" name="TextBox 3">
          <a:extLst>
            <a:ext uri="{FF2B5EF4-FFF2-40B4-BE49-F238E27FC236}">
              <a16:creationId xmlns:a16="http://schemas.microsoft.com/office/drawing/2014/main" id="{F82373B9-252C-AD99-F843-C641C36D7048}"/>
            </a:ext>
          </a:extLst>
        </xdr:cNvPr>
        <xdr:cNvSpPr txBox="1"/>
      </xdr:nvSpPr>
      <xdr:spPr>
        <a:xfrm>
          <a:off x="3947158" y="1853565"/>
          <a:ext cx="5823586"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a:t>SQRTOfCubes calculates the square root of 2 numbers to the 3rd power and rounds the result to the highest  integer value.</a:t>
          </a:r>
        </a:p>
        <a:p>
          <a:endParaRPr lang="fr-FR" sz="1400"/>
        </a:p>
        <a:p>
          <a:r>
            <a:rPr lang="fr-FR" sz="1400"/>
            <a:t>SQRTOfCubes is a lambda function defined  in Formulas &gt; Name Manager.</a:t>
          </a:r>
        </a:p>
      </xdr:txBody>
    </xdr:sp>
    <xdr:clientData/>
  </xdr:twoCellAnchor>
  <xdr:twoCellAnchor>
    <xdr:from>
      <xdr:col>10</xdr:col>
      <xdr:colOff>360045</xdr:colOff>
      <xdr:row>9</xdr:row>
      <xdr:rowOff>148591</xdr:rowOff>
    </xdr:from>
    <xdr:to>
      <xdr:col>19</xdr:col>
      <xdr:colOff>468630</xdr:colOff>
      <xdr:row>14</xdr:row>
      <xdr:rowOff>257176</xdr:rowOff>
    </xdr:to>
    <xdr:sp macro="" textlink="">
      <xdr:nvSpPr>
        <xdr:cNvPr id="5" name="TextBox 4">
          <a:extLst>
            <a:ext uri="{FF2B5EF4-FFF2-40B4-BE49-F238E27FC236}">
              <a16:creationId xmlns:a16="http://schemas.microsoft.com/office/drawing/2014/main" id="{9E7026F2-9EAE-0662-B253-779547B6317C}"/>
            </a:ext>
          </a:extLst>
        </xdr:cNvPr>
        <xdr:cNvSpPr txBox="1"/>
      </xdr:nvSpPr>
      <xdr:spPr>
        <a:xfrm>
          <a:off x="10075545" y="2653666"/>
          <a:ext cx="7557135" cy="158496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dk1"/>
              </a:solidFill>
              <a:effectLst/>
              <a:latin typeface="+mn-lt"/>
              <a:ea typeface="+mn-ea"/>
              <a:cs typeface="+mn-cs"/>
            </a:rPr>
            <a:t>Create the LAMBDA() function that calculates the equation </a:t>
          </a:r>
          <a:r>
            <a:rPr lang="fr-FR" sz="1600">
              <a:solidFill>
                <a:schemeClr val="dk1"/>
              </a:solidFill>
              <a:effectLst/>
              <a:latin typeface="+mn-lt"/>
              <a:ea typeface="+mn-ea"/>
              <a:cs typeface="+mn-cs"/>
            </a:rPr>
            <a:t>SQRTOfCubes</a:t>
          </a:r>
          <a:r>
            <a:rPr lang="en-US" sz="1600">
              <a:solidFill>
                <a:schemeClr val="dk1"/>
              </a:solidFill>
              <a:effectLst/>
              <a:latin typeface="+mn-lt"/>
              <a:ea typeface="+mn-ea"/>
              <a:cs typeface="+mn-cs"/>
            </a:rPr>
            <a:t>.</a:t>
          </a:r>
        </a:p>
        <a:p>
          <a:br>
            <a:rPr lang="en-US" sz="1600">
              <a:solidFill>
                <a:schemeClr val="dk1"/>
              </a:solidFill>
              <a:effectLst/>
              <a:latin typeface="+mn-lt"/>
              <a:ea typeface="+mn-ea"/>
              <a:cs typeface="+mn-cs"/>
            </a:rPr>
          </a:br>
          <a:r>
            <a:rPr lang="en-US" sz="1600">
              <a:solidFill>
                <a:schemeClr val="dk1"/>
              </a:solidFill>
              <a:effectLst/>
              <a:latin typeface="+mn-lt"/>
              <a:ea typeface="+mn-ea"/>
              <a:cs typeface="+mn-cs"/>
            </a:rPr>
            <a:t>Create a defined name SQRTOfCubes that contains the LAMBDA function.</a:t>
          </a:r>
        </a:p>
        <a:p>
          <a:br>
            <a:rPr lang="en-US" sz="1600">
              <a:solidFill>
                <a:schemeClr val="dk1"/>
              </a:solidFill>
              <a:effectLst/>
              <a:latin typeface="+mn-lt"/>
              <a:ea typeface="+mn-ea"/>
              <a:cs typeface="+mn-cs"/>
            </a:rPr>
          </a:br>
          <a:r>
            <a:rPr lang="en-US" sz="1600">
              <a:solidFill>
                <a:schemeClr val="dk1"/>
              </a:solidFill>
              <a:effectLst/>
              <a:latin typeface="+mn-lt"/>
              <a:ea typeface="+mn-ea"/>
              <a:cs typeface="+mn-cs"/>
            </a:rPr>
            <a:t>Apply the </a:t>
          </a:r>
          <a:r>
            <a:rPr lang="fr-FR" sz="1600">
              <a:solidFill>
                <a:schemeClr val="dk1"/>
              </a:solidFill>
              <a:effectLst/>
              <a:latin typeface="+mn-lt"/>
              <a:ea typeface="+mn-ea"/>
              <a:cs typeface="+mn-cs"/>
            </a:rPr>
            <a:t>SQRTOfCubes</a:t>
          </a:r>
          <a:r>
            <a:rPr lang="en-US" sz="1600">
              <a:solidFill>
                <a:schemeClr val="dk1"/>
              </a:solidFill>
              <a:effectLst/>
              <a:latin typeface="+mn-lt"/>
              <a:ea typeface="+mn-ea"/>
              <a:cs typeface="+mn-cs"/>
            </a:rPr>
            <a:t> function for each row in the initial table.</a:t>
          </a:r>
          <a:endParaRPr lang="fr-FR" sz="1600"/>
        </a:p>
      </xdr:txBody>
    </xdr:sp>
    <xdr:clientData/>
  </xdr:twoCellAnchor>
  <xdr:twoCellAnchor>
    <xdr:from>
      <xdr:col>7</xdr:col>
      <xdr:colOff>798195</xdr:colOff>
      <xdr:row>25</xdr:row>
      <xdr:rowOff>9525</xdr:rowOff>
    </xdr:from>
    <xdr:to>
      <xdr:col>17</xdr:col>
      <xdr:colOff>87630</xdr:colOff>
      <xdr:row>30</xdr:row>
      <xdr:rowOff>28575</xdr:rowOff>
    </xdr:to>
    <xdr:sp macro="" textlink="">
      <xdr:nvSpPr>
        <xdr:cNvPr id="6" name="TextBox 5">
          <a:extLst>
            <a:ext uri="{FF2B5EF4-FFF2-40B4-BE49-F238E27FC236}">
              <a16:creationId xmlns:a16="http://schemas.microsoft.com/office/drawing/2014/main" id="{306C5B86-431F-132D-687E-34EC26800F54}"/>
            </a:ext>
          </a:extLst>
        </xdr:cNvPr>
        <xdr:cNvSpPr txBox="1"/>
      </xdr:nvSpPr>
      <xdr:spPr>
        <a:xfrm>
          <a:off x="8132445" y="7058025"/>
          <a:ext cx="7557135" cy="1495425"/>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dk1"/>
              </a:solidFill>
              <a:effectLst/>
              <a:latin typeface="+mn-lt"/>
              <a:ea typeface="+mn-ea"/>
              <a:cs typeface="+mn-cs"/>
            </a:rPr>
            <a:t>Create the LAMBDA() function that calculates the equation </a:t>
          </a:r>
          <a:r>
            <a:rPr lang="fr-FR" sz="1600">
              <a:solidFill>
                <a:schemeClr val="dk1"/>
              </a:solidFill>
              <a:effectLst/>
              <a:latin typeface="+mn-lt"/>
              <a:ea typeface="+mn-ea"/>
              <a:cs typeface="+mn-cs"/>
            </a:rPr>
            <a:t>CalcAreaCircle</a:t>
          </a:r>
          <a:r>
            <a:rPr lang="en-US" sz="1600">
              <a:solidFill>
                <a:schemeClr val="dk1"/>
              </a:solidFill>
              <a:effectLst/>
              <a:latin typeface="+mn-lt"/>
              <a:ea typeface="+mn-ea"/>
              <a:cs typeface="+mn-cs"/>
            </a:rPr>
            <a:t>.</a:t>
          </a:r>
        </a:p>
        <a:p>
          <a:br>
            <a:rPr lang="en-US" sz="1600">
              <a:solidFill>
                <a:schemeClr val="dk1"/>
              </a:solidFill>
              <a:effectLst/>
              <a:latin typeface="+mn-lt"/>
              <a:ea typeface="+mn-ea"/>
              <a:cs typeface="+mn-cs"/>
            </a:rPr>
          </a:br>
          <a:r>
            <a:rPr lang="en-US" sz="1600">
              <a:solidFill>
                <a:schemeClr val="dk1"/>
              </a:solidFill>
              <a:effectLst/>
              <a:latin typeface="+mn-lt"/>
              <a:ea typeface="+mn-ea"/>
              <a:cs typeface="+mn-cs"/>
            </a:rPr>
            <a:t>Create a defined name CalcAreaCircle that contains the LAMBDA function .</a:t>
          </a:r>
        </a:p>
        <a:p>
          <a:br>
            <a:rPr lang="en-US" sz="1600">
              <a:solidFill>
                <a:schemeClr val="dk1"/>
              </a:solidFill>
              <a:effectLst/>
              <a:latin typeface="+mn-lt"/>
              <a:ea typeface="+mn-ea"/>
              <a:cs typeface="+mn-cs"/>
            </a:rPr>
          </a:br>
          <a:r>
            <a:rPr lang="en-US" sz="1600">
              <a:solidFill>
                <a:schemeClr val="dk1"/>
              </a:solidFill>
              <a:effectLst/>
              <a:latin typeface="+mn-lt"/>
              <a:ea typeface="+mn-ea"/>
              <a:cs typeface="+mn-cs"/>
            </a:rPr>
            <a:t>Apply the </a:t>
          </a:r>
          <a:r>
            <a:rPr lang="fr-FR" sz="1600">
              <a:solidFill>
                <a:schemeClr val="dk1"/>
              </a:solidFill>
              <a:effectLst/>
              <a:latin typeface="+mn-lt"/>
              <a:ea typeface="+mn-ea"/>
              <a:cs typeface="+mn-cs"/>
            </a:rPr>
            <a:t>CalcAreaCircle</a:t>
          </a:r>
          <a:r>
            <a:rPr lang="en-US" sz="1600">
              <a:solidFill>
                <a:schemeClr val="dk1"/>
              </a:solidFill>
              <a:effectLst/>
              <a:latin typeface="+mn-lt"/>
              <a:ea typeface="+mn-ea"/>
              <a:cs typeface="+mn-cs"/>
            </a:rPr>
            <a:t> function for each row in the initial table.</a:t>
          </a:r>
          <a:endParaRPr lang="fr-FR" sz="1600"/>
        </a:p>
      </xdr:txBody>
    </xdr:sp>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54AC6EC-0D86-4473-B26B-F481CCF77567}" autoFormatId="16" applyNumberFormats="0" applyBorderFormats="0" applyFontFormats="0" applyPatternFormats="0" applyAlignmentFormats="0" applyWidthHeightFormats="0">
  <queryTableRefresh nextId="11" unboundColumnsRight="2">
    <queryTableFields count="8">
      <queryTableField id="1" name="Rank" tableColumnId="1"/>
      <queryTableField id="2" name="NOC" tableColumnId="2"/>
      <queryTableField id="3" name="Gold" tableColumnId="3"/>
      <queryTableField id="4" name="Silver" tableColumnId="4"/>
      <queryTableField id="5" name="Bronze" tableColumnId="5"/>
      <queryTableField id="6" name="Total" tableColumnId="6"/>
      <queryTableField id="7" dataBound="0" tableColumnId="7"/>
      <queryTableField id="10" dataBound="0" tableColumnId="10"/>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AD62574-9DF7-4805-AA6B-3312233089EA}" name="tbl_tradfunctions" displayName="tbl_tradfunctions" ref="A2:E103" totalsRowShown="0" dataDxfId="51">
  <autoFilter ref="A2:E103" xr:uid="{E356AEC4-543A-4026-B39B-0233DBED9B96}"/>
  <tableColumns count="5">
    <tableColumn id="1" xr3:uid="{8A5DADC6-7B3C-42AB-BF53-000EFF99B475}" name="Index" dataDxfId="50"/>
    <tableColumn id="2" xr3:uid="{53C2EFB3-A870-4D2A-839D-6784D06DA660}" name="ENG" dataDxfId="49"/>
    <tableColumn id="3" xr3:uid="{D8E24E7B-8EB3-4ACE-8369-BFDC79E4E072}" name="FR" dataDxfId="48"/>
    <tableColumn id="4" xr3:uid="{37E070F8-26C6-41F6-B987-316D06C4755E}" name="DESCENG" dataDxfId="47"/>
    <tableColumn id="5" xr3:uid="{7034F19C-F20D-43E7-8ABA-EC83A3CBB062}" name="DESCFR" dataDxfId="46"/>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D87D17-F259-4FB3-8420-9A6EF0D623C8}" name="Tableau4" displayName="Tableau4" ref="A12:E24" totalsRowShown="0">
  <autoFilter ref="A12:E24" xr:uid="{AF0A112F-46BD-4C13-83C2-F8FBD471C4DC}"/>
  <sortState xmlns:xlrd2="http://schemas.microsoft.com/office/spreadsheetml/2017/richdata2" ref="A13:E24">
    <sortCondition ref="A12:A24"/>
  </sortState>
  <tableColumns count="5">
    <tableColumn id="1" xr3:uid="{4C1ADFCD-5FDF-4003-8CFA-16A02A541C8F}" name="Groupe"/>
    <tableColumn id="2" xr3:uid="{7E469FE4-54A4-4C7D-BB5F-3FE5685CC3F3}" name="MENU ENG"/>
    <tableColumn id="4" xr3:uid="{C20F0008-CAE6-485E-AF53-65DC5DCBD563}" name="MENU FR"/>
    <tableColumn id="6" xr3:uid="{56F1BA64-E9A1-48E2-B367-BF7E9E7A78AE}" name="Feuille lien"/>
    <tableColumn id="8" xr3:uid="{0C715CBB-49CB-4989-8777-2C62B41E2467}" name="Titre page" dataDxfId="52">
      <calculatedColumnFormula array="1">_xlfn.UNICHAR(10148)&amp;" "&amp;IF(eng_flag,Tableau4[[#This Row],[MENU ENG]],Tableau4[[#This Row],[MENU FR]])</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E9A695-8465-4EA0-8765-2E51FC718FCE}" name="tbl_365" displayName="tbl_365" ref="A90:E130" totalsRowShown="0">
  <autoFilter ref="A90:E130" xr:uid="{E356AEC4-543A-4026-B39B-0233DBED9B96}"/>
  <tableColumns count="5">
    <tableColumn id="1" xr3:uid="{B8DBF2D4-6358-4798-BC36-986161930B0B}" name="groupe"/>
    <tableColumn id="2" xr3:uid="{EB2044B3-BC8B-4550-9895-0C013A02EEEA}" name="ENG"/>
    <tableColumn id="3" xr3:uid="{FDBEE5B6-1CB7-4B98-9F29-250953A3381B}" name="FR"/>
    <tableColumn id="4" xr3:uid="{A109026B-491F-4648-92CE-F3A2439D97CD}" name="DESCENG"/>
    <tableColumn id="5" xr3:uid="{89356D49-DD6F-489A-BF7D-6A0C51616F40}" name="DESCFR"/>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1E90E5B-2CB5-40D7-B271-57F975FD5174}" name="tbl_filtre" displayName="tbl_filtre" ref="B59:H79" totalsRowShown="0" headerRowDxfId="45" dataDxfId="43" headerRowBorderDxfId="44" tableBorderDxfId="42" headerRowCellStyle="HeaderCol">
  <autoFilter ref="B59:H79" xr:uid="{11E90E5B-2CB5-40D7-B271-57F975FD5174}"/>
  <tableColumns count="7">
    <tableColumn id="1" xr3:uid="{6ADFC8E0-2F47-443E-88AB-2A871A91FC6B}" name="Department" dataDxfId="41"/>
    <tableColumn id="2" xr3:uid="{10755971-2105-4DB8-9A3D-E44A0D3BAA75}" name="Employee" dataDxfId="40"/>
    <tableColumn id="3" xr3:uid="{8DF47F79-2BE0-4B9D-98FF-51FCB6935889}" name="Salary" dataDxfId="39"/>
    <tableColumn id="4" xr3:uid="{87014609-4FAF-4724-A5FC-D191A652E3D6}" name="Born in" dataDxfId="38"/>
    <tableColumn id="5" xr3:uid="{B249799D-6C0B-4BF5-AC89-0531FE1B0851}" name="Gender" dataDxfId="37"/>
    <tableColumn id="6" xr3:uid="{609A74B9-4D87-42DE-B192-F54A7AF8217C}" name="City" dataDxfId="36"/>
    <tableColumn id="7" xr3:uid="{1C229C45-6338-4D5C-82E1-DC43281FA885}" name="Status" dataDxfId="3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2C40D1-5A0F-40FC-A9F6-15BC9EF41F19}" name="tbl_Presidents" displayName="tbl_Presidents" ref="B7:H52" totalsRowShown="0" dataDxfId="34" tableBorderDxfId="33" headerRowCellStyle="HeaderCol">
  <autoFilter ref="B7:H52" xr:uid="{262C40D1-5A0F-40FC-A9F6-15BC9EF41F19}"/>
  <tableColumns count="7">
    <tableColumn id="7" xr3:uid="{760658F7-D7C3-4464-96E0-EB8209B65286}" name="Année / Year" dataDxfId="32"/>
    <tableColumn id="1" xr3:uid="{84D3463B-B423-4FCD-9F8C-17A82DFD3E42}" name="Nom / Name" dataDxfId="31"/>
    <tableColumn id="2" xr3:uid="{F74CA37F-563C-4D8D-87C0-8D1BF7B1B07A}" name="Base" dataDxfId="30"/>
    <tableColumn id="3" xr3:uid="{15B9211F-3895-4E00-943B-0687A0E354E0}" name="Bonus" dataDxfId="29">
      <calculatedColumnFormula>_xlfn.XLOOKUP(tbl_Presidents[[#This Row],[Nom / Name]],tbl_bonus[Nom],tbl_bonus[Bonus %],0)*D8</calculatedColumnFormula>
    </tableColumn>
    <tableColumn id="4" xr3:uid="{455ACC75-87E3-423A-A2AF-963E038920D3}" name="Base+Bonus" dataDxfId="28">
      <calculatedColumnFormula>D8+E8</calculatedColumnFormula>
    </tableColumn>
    <tableColumn id="5" xr3:uid="{1A15480E-A5B6-4924-BB90-E65FA9FF227B}" name="Extra Bonus " dataDxfId="27">
      <calculatedColumnFormula>_xlfn.XLOOKUP(D8,$G$58:$G$62,$H$58:$H$62,,-1)*D8</calculatedColumnFormula>
    </tableColumn>
    <tableColumn id="6" xr3:uid="{3FD976BD-D7DD-4C58-91E7-3EDCD2FCACC2}" name="Total" dataDxfId="26">
      <calculatedColumnFormula>SUM(F8:G8)</calculatedColumnFormula>
    </tableColumn>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3B1394-C8B8-4C51-8491-D73EF48BF15A}" name="tbl_bonus" displayName="tbl_bonus" ref="B57:D102" totalsRowShown="0" dataDxfId="25" headerRowCellStyle="HeaderCol">
  <autoFilter ref="B57:D102" xr:uid="{553B1394-C8B8-4C51-8491-D73EF48BF15A}"/>
  <tableColumns count="3">
    <tableColumn id="1" xr3:uid="{6C4CB185-8239-47E1-9406-A9FFF78E84D6}" name="ID" dataDxfId="24"/>
    <tableColumn id="2" xr3:uid="{DAF3507A-B9DE-4FD3-A7C9-CA3793F432CA}" name="Bonus %" dataDxfId="23"/>
    <tableColumn id="3" xr3:uid="{CF0BC778-12AC-4FE1-B971-E0A3D2EC5446}" name="Nom" dataDxfId="22"/>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F12995-FA1A-45C6-BC4C-B1875DF84741}" name="tbl_medals" displayName="tbl_medals" ref="B21:I33" tableType="queryTable" totalsRowShown="0" headerRowDxfId="21" dataDxfId="20" headerRowCellStyle="titre_lignecol">
  <autoFilter ref="B21:I33" xr:uid="{F8CCD4AC-E526-40B8-8785-84F6BB60D6D9}"/>
  <tableColumns count="8">
    <tableColumn id="1" xr3:uid="{50F7F623-F33A-41F1-9A21-D4F003F2F899}" uniqueName="1" name="Rank" queryTableFieldId="1" dataDxfId="19"/>
    <tableColumn id="2" xr3:uid="{E5F5F86D-DCB6-46F4-9B31-937118C484EE}" uniqueName="2" name="Country" queryTableFieldId="2" dataDxfId="18"/>
    <tableColumn id="3" xr3:uid="{C3588BB5-C23A-410A-A799-8466E96D315A}" uniqueName="3" name="GOLD" queryTableFieldId="3" dataDxfId="17"/>
    <tableColumn id="4" xr3:uid="{AD352FA4-D82F-476F-B390-DB7A3436B30C}" uniqueName="4" name="SILVER" queryTableFieldId="4" dataDxfId="16"/>
    <tableColumn id="5" xr3:uid="{17958A24-B061-4FDF-B502-91F4B9F230CF}" uniqueName="5" name="BRONZE" queryTableFieldId="5" dataDxfId="15"/>
    <tableColumn id="6" xr3:uid="{8679C52D-21A0-4F2D-BEFA-E2439F554730}" uniqueName="6" name="Total" queryTableFieldId="6" dataDxfId="14"/>
    <tableColumn id="7" xr3:uid="{8DDA2A6B-FE03-4777-B982-E08B008855CE}" uniqueName="7" name="Δ AVG" queryTableFieldId="7" dataDxfId="13">
      <calculatedColumnFormula>_xlfn.LET(_xlpm.avg,AVERAGE($D$22:$D$31),IF(D22&gt;_xlpm.avg,$Y$5,$Y$6)&amp; ROUND(D22-_xlpm.avg,0))</calculatedColumnFormula>
    </tableColumn>
    <tableColumn id="10" xr3:uid="{B0A2021D-4F8A-49BA-AB4A-B7CCAE95F1E1}" uniqueName="10" name="Δ GLOBAL AVG" queryTableFieldId="10" dataDxfId="12">
      <calculatedColumnFormula>_xlfn.LET(_xlpm.avg,AVERAGE($G$22:$G$31),IF(G22&gt;_xlpm.avg,$Y$5,$Y$6)&amp; ROUND(G22-_xlpm.avg,0))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Thème Office 2013 – 2022">
  <a:themeElements>
    <a:clrScheme name="ExcelGeneral">
      <a:dk1>
        <a:srgbClr val="36454F"/>
      </a:dk1>
      <a:lt1>
        <a:sysClr val="window" lastClr="FFFFFF"/>
      </a:lt1>
      <a:dk2>
        <a:srgbClr val="49732F"/>
      </a:dk2>
      <a:lt2>
        <a:srgbClr val="E7E6E6"/>
      </a:lt2>
      <a:accent1>
        <a:srgbClr val="50C878"/>
      </a:accent1>
      <a:accent2>
        <a:srgbClr val="228B22"/>
      </a:accent2>
      <a:accent3>
        <a:srgbClr val="98FF98"/>
      </a:accent3>
      <a:accent4>
        <a:srgbClr val="660066"/>
      </a:accent4>
      <a:accent5>
        <a:srgbClr val="FFC000"/>
      </a:accent5>
      <a:accent6>
        <a:srgbClr val="008080"/>
      </a:accent6>
      <a:hlink>
        <a:srgbClr val="008000"/>
      </a:hlink>
      <a:folHlink>
        <a:srgbClr val="C490AA"/>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350" row="14">
    <wetp:webextensionref xmlns:r="http://schemas.openxmlformats.org/officeDocument/2006/relationships" r:id="rId1"/>
  </wetp:taskpane>
  <wetp:taskpane dockstate="right" visibility="0" width="350" row="15">
    <wetp:webextensionref xmlns:r="http://schemas.openxmlformats.org/officeDocument/2006/relationships" r:id="rId2"/>
  </wetp:taskpane>
  <wetp:taskpane dockstate="right" visibility="0" width="350" row="16">
    <wetp:webextensionref xmlns:r="http://schemas.openxmlformats.org/officeDocument/2006/relationships" r:id="rId3"/>
  </wetp:taskpane>
  <wetp:taskpane dockstate="right" visibility="0" width="0" row="0">
    <wetp:webextensionref xmlns:r="http://schemas.openxmlformats.org/officeDocument/2006/relationships" r:id="rId4"/>
  </wetp:taskpane>
</wetp:taskpanes>
</file>

<file path=xl/webextensions/webextension1.xml><?xml version="1.0" encoding="utf-8"?>
<we:webextension xmlns:we="http://schemas.microsoft.com/office/webextensions/webextension/2010/11" id="{7F4C4D82-3381-4E83-A7BD-6E6DE30B8A29}">
  <we:reference id="wa200005271" version="2.5.5.0" store="fr-FR"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DBEDC681-2346-4C2B-A593-E63E48B7718C}">
  <we:reference id="wa104380123" version="1.0.0.0" store="fr-FR" storeType="OMEX"/>
  <we:alternateReferences>
    <we:reference id="WA104380123" version="1.0.0.0" store="WA104380123"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26CC2C5D-DA7A-4AB6-A89D-20457B592361}">
  <we:reference id="wa104381504" version="1.0.0.0" store="fr-FR" storeType="OMEX"/>
  <we:alternateReferences>
    <we:reference id="WA104381504"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4.xml><?xml version="1.0" encoding="utf-8"?>
<we:webextension xmlns:we="http://schemas.microsoft.com/office/webextensions/webextension/2010/11" id="{93705295-F1C4-4A27-A6D2-B3CDC33E2A04}">
  <we:reference id="wa200007447" version="1.0.0.0" store="fr-CH" storeType="OMEX"/>
  <we:alternateReferences>
    <we:reference id="wa200007447"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2.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support.microsoft.com/fr-fr/office/excel-functions-alphabetical-b3944572-255d-4efb-bb96-c6d90033e188" TargetMode="External"/><Relationship Id="rId7" Type="http://schemas.openxmlformats.org/officeDocument/2006/relationships/ctrlProp" Target="../ctrlProps/ctrlProp3.xml"/><Relationship Id="rId2" Type="http://schemas.openxmlformats.org/officeDocument/2006/relationships/hyperlink" Target="https://support.microsoft.com/en-us/office/excel-functions-alphabetical-b3944572-255d-4efb-bb96-c6d90033e188" TargetMode="External"/><Relationship Id="rId1" Type="http://schemas.openxmlformats.org/officeDocument/2006/relationships/hyperlink" Target="mailto:moreau@artofnet.ch"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8.xml"/><Relationship Id="rId1" Type="http://schemas.openxmlformats.org/officeDocument/2006/relationships/printerSettings" Target="../printerSettings/printerSettings11.bin"/><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16A10-04F0-4999-A322-D0D0CBA3FDE8}">
  <sheetPr codeName="Sheet1">
    <tabColor theme="8" tint="-0.499984740745262"/>
  </sheetPr>
  <dimension ref="A2:I116"/>
  <sheetViews>
    <sheetView topLeftCell="A77" workbookViewId="0">
      <selection activeCell="B91" sqref="A3:E103"/>
    </sheetView>
  </sheetViews>
  <sheetFormatPr defaultColWidth="9.109375" defaultRowHeight="14.4"/>
  <cols>
    <col min="2" max="2" width="24.88671875" customWidth="1"/>
    <col min="3" max="3" width="35.109375" bestFit="1" customWidth="1"/>
    <col min="4" max="4" width="83.88671875" bestFit="1" customWidth="1"/>
    <col min="5" max="5" width="87.109375" customWidth="1"/>
    <col min="6" max="7" width="35.109375" bestFit="1" customWidth="1"/>
    <col min="8" max="8" width="35.109375" customWidth="1"/>
    <col min="10" max="10" width="14.88671875" bestFit="1" customWidth="1"/>
    <col min="11" max="11" width="12.109375" bestFit="1" customWidth="1"/>
    <col min="17" max="17" width="13" bestFit="1" customWidth="1"/>
    <col min="18" max="18" width="12.33203125" bestFit="1" customWidth="1"/>
    <col min="19" max="19" width="14.6640625" bestFit="1" customWidth="1"/>
    <col min="20" max="20" width="13.88671875" bestFit="1" customWidth="1"/>
  </cols>
  <sheetData>
    <row r="2" spans="1:5" ht="21">
      <c r="A2" s="146" t="s">
        <v>0</v>
      </c>
      <c r="B2" s="146" t="s">
        <v>1</v>
      </c>
      <c r="C2" s="146" t="s">
        <v>2</v>
      </c>
      <c r="D2" s="146" t="s">
        <v>3</v>
      </c>
      <c r="E2" s="146" t="s">
        <v>4</v>
      </c>
    </row>
    <row r="3" spans="1:5" ht="21">
      <c r="A3" s="15">
        <v>10</v>
      </c>
      <c r="B3" s="15" t="s">
        <v>5</v>
      </c>
      <c r="C3" s="15" t="s">
        <v>6</v>
      </c>
      <c r="D3" s="15" t="s">
        <v>7</v>
      </c>
      <c r="E3" s="15" t="s">
        <v>8</v>
      </c>
    </row>
    <row r="4" spans="1:5" ht="21">
      <c r="A4" s="15">
        <v>20</v>
      </c>
      <c r="B4" s="15" t="s">
        <v>9</v>
      </c>
      <c r="C4" s="15" t="s">
        <v>10</v>
      </c>
      <c r="D4" s="15" t="s">
        <v>11</v>
      </c>
      <c r="E4" s="15" t="s">
        <v>12</v>
      </c>
    </row>
    <row r="5" spans="1:5" ht="21">
      <c r="A5" s="15">
        <v>30</v>
      </c>
      <c r="B5" s="15" t="s">
        <v>13</v>
      </c>
      <c r="C5" s="15" t="s">
        <v>14</v>
      </c>
      <c r="D5" s="15" t="s">
        <v>15</v>
      </c>
      <c r="E5" s="15" t="s">
        <v>16</v>
      </c>
    </row>
    <row r="6" spans="1:5" ht="21">
      <c r="A6" s="15">
        <v>40</v>
      </c>
      <c r="B6" s="15" t="s">
        <v>17</v>
      </c>
      <c r="C6" s="15" t="s">
        <v>17</v>
      </c>
      <c r="D6" s="15" t="s">
        <v>18</v>
      </c>
      <c r="E6" s="15" t="s">
        <v>19</v>
      </c>
    </row>
    <row r="7" spans="1:5" ht="21">
      <c r="A7" s="15">
        <v>50</v>
      </c>
      <c r="B7" s="15" t="s">
        <v>20</v>
      </c>
      <c r="C7" s="15" t="s">
        <v>20</v>
      </c>
      <c r="D7" s="15" t="s">
        <v>21</v>
      </c>
      <c r="E7" s="15" t="s">
        <v>22</v>
      </c>
    </row>
    <row r="8" spans="1:5" ht="21">
      <c r="A8" s="15">
        <v>60</v>
      </c>
      <c r="B8" s="15" t="s">
        <v>23</v>
      </c>
      <c r="C8" s="15" t="s">
        <v>24</v>
      </c>
      <c r="D8" s="15" t="s">
        <v>25</v>
      </c>
      <c r="E8" s="15" t="s">
        <v>26</v>
      </c>
    </row>
    <row r="9" spans="1:5" ht="21">
      <c r="A9" s="15">
        <v>70</v>
      </c>
      <c r="B9" s="15" t="s">
        <v>27</v>
      </c>
      <c r="C9" s="15" t="s">
        <v>28</v>
      </c>
      <c r="D9" s="15" t="s">
        <v>29</v>
      </c>
      <c r="E9" s="15" t="s">
        <v>30</v>
      </c>
    </row>
    <row r="10" spans="1:5" ht="21">
      <c r="A10" s="15">
        <v>80</v>
      </c>
      <c r="B10" s="15" t="s">
        <v>31</v>
      </c>
      <c r="C10" s="15" t="s">
        <v>32</v>
      </c>
      <c r="D10" s="15" t="s">
        <v>33</v>
      </c>
      <c r="E10" s="15" t="s">
        <v>34</v>
      </c>
    </row>
    <row r="11" spans="1:5" ht="21">
      <c r="A11" s="15">
        <v>90</v>
      </c>
      <c r="B11" s="15" t="s">
        <v>35</v>
      </c>
      <c r="C11" s="15" t="s">
        <v>36</v>
      </c>
      <c r="D11" s="15" t="s">
        <v>37</v>
      </c>
      <c r="E11" s="15" t="s">
        <v>38</v>
      </c>
    </row>
    <row r="12" spans="1:5" ht="21">
      <c r="A12" s="15">
        <v>100</v>
      </c>
      <c r="B12" s="15" t="s">
        <v>39</v>
      </c>
      <c r="C12" s="15" t="s">
        <v>40</v>
      </c>
      <c r="D12" s="15" t="s">
        <v>41</v>
      </c>
      <c r="E12" s="15" t="s">
        <v>42</v>
      </c>
    </row>
    <row r="13" spans="1:5" ht="21">
      <c r="A13" s="15">
        <v>110</v>
      </c>
      <c r="B13" s="15" t="s">
        <v>43</v>
      </c>
      <c r="C13" s="15" t="s">
        <v>44</v>
      </c>
      <c r="D13" s="15" t="s">
        <v>45</v>
      </c>
      <c r="E13" s="15" t="s">
        <v>46</v>
      </c>
    </row>
    <row r="14" spans="1:5" ht="21">
      <c r="A14" s="15">
        <v>120</v>
      </c>
      <c r="B14" s="15" t="s">
        <v>47</v>
      </c>
      <c r="C14" s="15" t="s">
        <v>48</v>
      </c>
      <c r="D14" s="15" t="s">
        <v>49</v>
      </c>
      <c r="E14" s="15" t="s">
        <v>50</v>
      </c>
    </row>
    <row r="15" spans="1:5" ht="21">
      <c r="A15" s="15">
        <v>130</v>
      </c>
      <c r="B15" s="15" t="s">
        <v>51</v>
      </c>
      <c r="C15" s="15" t="s">
        <v>52</v>
      </c>
      <c r="D15" s="15" t="s">
        <v>53</v>
      </c>
      <c r="E15" s="15" t="s">
        <v>54</v>
      </c>
    </row>
    <row r="16" spans="1:5" ht="21">
      <c r="A16" s="15">
        <v>140</v>
      </c>
      <c r="B16" s="15" t="s">
        <v>55</v>
      </c>
      <c r="C16" s="15" t="s">
        <v>56</v>
      </c>
      <c r="D16" s="15" t="s">
        <v>57</v>
      </c>
      <c r="E16" s="15" t="s">
        <v>58</v>
      </c>
    </row>
    <row r="17" spans="1:5" ht="21">
      <c r="A17" s="15">
        <v>150</v>
      </c>
      <c r="B17" s="15" t="s">
        <v>59</v>
      </c>
      <c r="C17" s="15" t="s">
        <v>60</v>
      </c>
      <c r="D17" s="15" t="s">
        <v>61</v>
      </c>
      <c r="E17" s="15" t="s">
        <v>62</v>
      </c>
    </row>
    <row r="18" spans="1:5" ht="21">
      <c r="A18" s="15">
        <v>160</v>
      </c>
      <c r="B18" s="15" t="s">
        <v>63</v>
      </c>
      <c r="C18" s="15" t="s">
        <v>64</v>
      </c>
      <c r="D18" s="15" t="s">
        <v>65</v>
      </c>
      <c r="E18" s="15" t="s">
        <v>66</v>
      </c>
    </row>
    <row r="19" spans="1:5" ht="105">
      <c r="A19" s="15">
        <v>170</v>
      </c>
      <c r="B19" s="15" t="s">
        <v>67</v>
      </c>
      <c r="C19" s="15" t="s">
        <v>68</v>
      </c>
      <c r="D19" s="168" t="s">
        <v>69</v>
      </c>
      <c r="E19" s="168" t="s">
        <v>70</v>
      </c>
    </row>
    <row r="20" spans="1:5" ht="21">
      <c r="A20" s="15">
        <v>180</v>
      </c>
      <c r="B20" s="15" t="s">
        <v>71</v>
      </c>
      <c r="C20" s="15" t="s">
        <v>72</v>
      </c>
      <c r="D20" s="15" t="s">
        <v>73</v>
      </c>
      <c r="E20" s="15" t="s">
        <v>74</v>
      </c>
    </row>
    <row r="21" spans="1:5" ht="21">
      <c r="A21" s="15">
        <v>190</v>
      </c>
      <c r="B21" s="15" t="s">
        <v>75</v>
      </c>
      <c r="C21" s="15" t="s">
        <v>75</v>
      </c>
      <c r="D21" s="15" t="s">
        <v>76</v>
      </c>
      <c r="E21" s="15" t="s">
        <v>77</v>
      </c>
    </row>
    <row r="22" spans="1:5" ht="21">
      <c r="A22" s="15">
        <v>200</v>
      </c>
      <c r="B22" s="15" t="s">
        <v>78</v>
      </c>
      <c r="C22" s="15" t="s">
        <v>78</v>
      </c>
      <c r="D22" s="15" t="s">
        <v>79</v>
      </c>
      <c r="E22" s="15" t="s">
        <v>80</v>
      </c>
    </row>
    <row r="23" spans="1:5" ht="21">
      <c r="A23" s="15">
        <v>210</v>
      </c>
      <c r="B23" s="15" t="s">
        <v>81</v>
      </c>
      <c r="C23" s="15" t="s">
        <v>81</v>
      </c>
      <c r="D23" s="15" t="s">
        <v>82</v>
      </c>
      <c r="E23" s="15" t="s">
        <v>83</v>
      </c>
    </row>
    <row r="24" spans="1:5" ht="21">
      <c r="A24" s="15">
        <v>220</v>
      </c>
      <c r="B24" s="15" t="s">
        <v>84</v>
      </c>
      <c r="C24" s="15" t="s">
        <v>84</v>
      </c>
      <c r="D24" s="15" t="s">
        <v>85</v>
      </c>
      <c r="E24" s="15" t="s">
        <v>86</v>
      </c>
    </row>
    <row r="25" spans="1:5" ht="21">
      <c r="A25" s="15">
        <v>230</v>
      </c>
      <c r="B25" s="15" t="s">
        <v>87</v>
      </c>
      <c r="C25" s="15" t="s">
        <v>88</v>
      </c>
      <c r="D25" s="15" t="s">
        <v>89</v>
      </c>
      <c r="E25" s="15" t="s">
        <v>90</v>
      </c>
    </row>
    <row r="26" spans="1:5" ht="21">
      <c r="A26" s="15">
        <v>240</v>
      </c>
      <c r="B26" s="15" t="s">
        <v>91</v>
      </c>
      <c r="C26" s="15" t="s">
        <v>92</v>
      </c>
      <c r="D26" s="15" t="s">
        <v>93</v>
      </c>
      <c r="E26" s="15" t="s">
        <v>94</v>
      </c>
    </row>
    <row r="27" spans="1:5" ht="21">
      <c r="A27" s="15">
        <v>250</v>
      </c>
      <c r="B27" s="15" t="s">
        <v>95</v>
      </c>
      <c r="C27" s="15" t="s">
        <v>95</v>
      </c>
      <c r="D27" s="15" t="s">
        <v>96</v>
      </c>
      <c r="E27" s="15" t="s">
        <v>97</v>
      </c>
    </row>
    <row r="28" spans="1:5" ht="21">
      <c r="A28" s="15">
        <v>260</v>
      </c>
      <c r="B28" s="15" t="s">
        <v>98</v>
      </c>
      <c r="C28" s="15" t="s">
        <v>98</v>
      </c>
      <c r="D28" s="15" t="s">
        <v>99</v>
      </c>
      <c r="E28" s="15" t="s">
        <v>100</v>
      </c>
    </row>
    <row r="29" spans="1:5" ht="21">
      <c r="A29" s="15">
        <v>270</v>
      </c>
      <c r="B29" s="15" t="s">
        <v>101</v>
      </c>
      <c r="C29" s="15" t="s">
        <v>102</v>
      </c>
      <c r="D29" s="15" t="s">
        <v>103</v>
      </c>
      <c r="E29" s="15" t="s">
        <v>104</v>
      </c>
    </row>
    <row r="30" spans="1:5" ht="21">
      <c r="A30" s="15">
        <v>280</v>
      </c>
      <c r="B30" s="15" t="s">
        <v>105</v>
      </c>
      <c r="C30" s="15" t="s">
        <v>106</v>
      </c>
      <c r="D30" s="15" t="s">
        <v>107</v>
      </c>
      <c r="E30" s="15" t="s">
        <v>108</v>
      </c>
    </row>
    <row r="31" spans="1:5" ht="21">
      <c r="A31" s="15">
        <v>290</v>
      </c>
      <c r="B31" s="15" t="s">
        <v>109</v>
      </c>
      <c r="C31" s="15" t="s">
        <v>110</v>
      </c>
      <c r="D31" s="15" t="s">
        <v>111</v>
      </c>
      <c r="E31" s="15" t="s">
        <v>112</v>
      </c>
    </row>
    <row r="32" spans="1:5" ht="21">
      <c r="A32" s="15">
        <v>300</v>
      </c>
      <c r="B32" s="15" t="s">
        <v>113</v>
      </c>
      <c r="C32" s="15" t="s">
        <v>113</v>
      </c>
      <c r="D32" s="15" t="s">
        <v>114</v>
      </c>
      <c r="E32" s="15" t="s">
        <v>115</v>
      </c>
    </row>
    <row r="33" spans="1:5" ht="21">
      <c r="A33" s="15">
        <v>310</v>
      </c>
      <c r="B33" s="15" t="s">
        <v>116</v>
      </c>
      <c r="C33" s="15" t="s">
        <v>117</v>
      </c>
      <c r="D33" s="15" t="s">
        <v>118</v>
      </c>
      <c r="E33" s="15" t="s">
        <v>119</v>
      </c>
    </row>
    <row r="34" spans="1:5" ht="21">
      <c r="A34" s="15">
        <v>320</v>
      </c>
      <c r="B34" s="15" t="s">
        <v>120</v>
      </c>
      <c r="C34" s="15" t="s">
        <v>121</v>
      </c>
      <c r="D34" s="15" t="s">
        <v>122</v>
      </c>
      <c r="E34" s="15" t="s">
        <v>123</v>
      </c>
    </row>
    <row r="35" spans="1:5" ht="21">
      <c r="A35" s="15">
        <v>330</v>
      </c>
      <c r="B35" s="15" t="s">
        <v>124</v>
      </c>
      <c r="C35" s="15" t="s">
        <v>125</v>
      </c>
      <c r="D35" s="15" t="s">
        <v>126</v>
      </c>
      <c r="E35" s="15" t="s">
        <v>127</v>
      </c>
    </row>
    <row r="36" spans="1:5" ht="21">
      <c r="A36" s="15">
        <v>340</v>
      </c>
      <c r="B36" s="15" t="s">
        <v>128</v>
      </c>
      <c r="C36" s="15" t="s">
        <v>128</v>
      </c>
      <c r="D36" s="15" t="s">
        <v>129</v>
      </c>
      <c r="E36" s="15" t="s">
        <v>130</v>
      </c>
    </row>
    <row r="37" spans="1:5" ht="21">
      <c r="A37" s="15">
        <v>350</v>
      </c>
      <c r="B37" s="15" t="s">
        <v>131</v>
      </c>
      <c r="C37" s="15" t="s">
        <v>132</v>
      </c>
      <c r="D37" s="15" t="s">
        <v>133</v>
      </c>
      <c r="E37" s="15" t="s">
        <v>134</v>
      </c>
    </row>
    <row r="38" spans="1:5" ht="21">
      <c r="A38" s="15">
        <v>360</v>
      </c>
      <c r="B38" s="15" t="s">
        <v>135</v>
      </c>
      <c r="C38" s="15" t="s">
        <v>136</v>
      </c>
      <c r="D38" s="15" t="s">
        <v>137</v>
      </c>
      <c r="E38" s="15" t="s">
        <v>138</v>
      </c>
    </row>
    <row r="39" spans="1:5" ht="21">
      <c r="A39" s="15">
        <v>370</v>
      </c>
      <c r="B39" s="15" t="s">
        <v>139</v>
      </c>
      <c r="C39" s="15" t="s">
        <v>140</v>
      </c>
      <c r="D39" s="15" t="s">
        <v>141</v>
      </c>
      <c r="E39" s="15" t="s">
        <v>142</v>
      </c>
    </row>
    <row r="40" spans="1:5" ht="21">
      <c r="A40" s="15">
        <v>380</v>
      </c>
      <c r="B40" s="15" t="s">
        <v>143</v>
      </c>
      <c r="C40" s="15" t="s">
        <v>144</v>
      </c>
      <c r="D40" s="15" t="s">
        <v>145</v>
      </c>
      <c r="E40" s="15" t="s">
        <v>146</v>
      </c>
    </row>
    <row r="41" spans="1:5" ht="21">
      <c r="A41" s="15">
        <v>390</v>
      </c>
      <c r="B41" s="15" t="s">
        <v>147</v>
      </c>
      <c r="C41" s="15" t="s">
        <v>148</v>
      </c>
      <c r="D41" s="144" t="s">
        <v>149</v>
      </c>
      <c r="E41" s="145" t="s">
        <v>150</v>
      </c>
    </row>
    <row r="42" spans="1:5" ht="21">
      <c r="A42" s="15">
        <v>400</v>
      </c>
      <c r="B42" s="15" t="s">
        <v>151</v>
      </c>
      <c r="C42" s="15" t="s">
        <v>152</v>
      </c>
      <c r="D42" s="144" t="s">
        <v>153</v>
      </c>
      <c r="E42" s="145" t="s">
        <v>154</v>
      </c>
    </row>
    <row r="43" spans="1:5" ht="21">
      <c r="A43" s="15">
        <v>410</v>
      </c>
      <c r="B43" s="15" t="s">
        <v>155</v>
      </c>
      <c r="C43" s="15" t="s">
        <v>156</v>
      </c>
      <c r="D43" s="144" t="s">
        <v>157</v>
      </c>
      <c r="E43" s="145" t="s">
        <v>158</v>
      </c>
    </row>
    <row r="44" spans="1:5" ht="21">
      <c r="A44" s="15">
        <v>420</v>
      </c>
      <c r="B44" s="15" t="s">
        <v>159</v>
      </c>
      <c r="C44" s="15" t="s">
        <v>160</v>
      </c>
      <c r="D44" s="144" t="s">
        <v>161</v>
      </c>
      <c r="E44" s="145" t="s">
        <v>162</v>
      </c>
    </row>
    <row r="45" spans="1:5" ht="21">
      <c r="A45" s="15">
        <v>430</v>
      </c>
      <c r="B45" s="15" t="s">
        <v>163</v>
      </c>
      <c r="C45" s="15" t="s">
        <v>164</v>
      </c>
      <c r="D45" s="144" t="s">
        <v>165</v>
      </c>
      <c r="E45" s="145" t="s">
        <v>166</v>
      </c>
    </row>
    <row r="46" spans="1:5" ht="21">
      <c r="A46" s="15">
        <v>440</v>
      </c>
      <c r="B46" s="15" t="s">
        <v>167</v>
      </c>
      <c r="C46" s="15" t="s">
        <v>168</v>
      </c>
      <c r="D46" s="144" t="s">
        <v>169</v>
      </c>
      <c r="E46" s="145" t="s">
        <v>170</v>
      </c>
    </row>
    <row r="47" spans="1:5" ht="42">
      <c r="A47" s="15">
        <v>450</v>
      </c>
      <c r="B47" s="15" t="s">
        <v>171</v>
      </c>
      <c r="C47" s="15" t="s">
        <v>171</v>
      </c>
      <c r="D47" s="144" t="s">
        <v>172</v>
      </c>
      <c r="E47" s="145" t="s">
        <v>173</v>
      </c>
    </row>
    <row r="48" spans="1:5" ht="42">
      <c r="A48" s="15">
        <v>460</v>
      </c>
      <c r="B48" s="15" t="s">
        <v>174</v>
      </c>
      <c r="C48" s="15" t="s">
        <v>175</v>
      </c>
      <c r="D48" s="144" t="s">
        <v>176</v>
      </c>
      <c r="E48" s="145" t="s">
        <v>177</v>
      </c>
    </row>
    <row r="49" spans="1:9" ht="42">
      <c r="A49" s="15">
        <v>470</v>
      </c>
      <c r="B49" s="15" t="s">
        <v>178</v>
      </c>
      <c r="C49" s="15" t="s">
        <v>179</v>
      </c>
      <c r="D49" s="144" t="s">
        <v>180</v>
      </c>
      <c r="E49" s="145" t="s">
        <v>181</v>
      </c>
    </row>
    <row r="50" spans="1:9" ht="42">
      <c r="A50" s="15">
        <v>480</v>
      </c>
      <c r="B50" s="15" t="s">
        <v>182</v>
      </c>
      <c r="C50" s="15" t="s">
        <v>183</v>
      </c>
      <c r="D50" s="144" t="s">
        <v>184</v>
      </c>
      <c r="E50" s="145" t="s">
        <v>185</v>
      </c>
    </row>
    <row r="51" spans="1:9" ht="21">
      <c r="A51" s="15">
        <v>490</v>
      </c>
      <c r="B51" s="15" t="s">
        <v>186</v>
      </c>
      <c r="C51" s="15" t="s">
        <v>187</v>
      </c>
      <c r="D51" s="144" t="s">
        <v>188</v>
      </c>
      <c r="E51" s="145" t="s">
        <v>189</v>
      </c>
    </row>
    <row r="52" spans="1:9" ht="21">
      <c r="A52" s="15">
        <v>500</v>
      </c>
      <c r="B52" s="15" t="s">
        <v>116</v>
      </c>
      <c r="C52" s="15" t="s">
        <v>117</v>
      </c>
      <c r="D52" s="144" t="s">
        <v>190</v>
      </c>
      <c r="E52" s="145" t="s">
        <v>191</v>
      </c>
    </row>
    <row r="53" spans="1:9" ht="42">
      <c r="A53" s="15">
        <v>510</v>
      </c>
      <c r="B53" s="15" t="s">
        <v>192</v>
      </c>
      <c r="C53" s="15" t="s">
        <v>193</v>
      </c>
      <c r="D53" s="144" t="s">
        <v>194</v>
      </c>
      <c r="E53" s="145" t="s">
        <v>195</v>
      </c>
    </row>
    <row r="54" spans="1:9" ht="21">
      <c r="A54" s="15">
        <v>520</v>
      </c>
      <c r="B54" s="15" t="s">
        <v>196</v>
      </c>
      <c r="C54" s="15" t="s">
        <v>197</v>
      </c>
      <c r="D54" s="144" t="s">
        <v>198</v>
      </c>
      <c r="E54" s="145" t="s">
        <v>199</v>
      </c>
    </row>
    <row r="55" spans="1:9" ht="42">
      <c r="A55" s="15">
        <v>530</v>
      </c>
      <c r="B55" s="15" t="s">
        <v>135</v>
      </c>
      <c r="C55" s="15" t="s">
        <v>200</v>
      </c>
      <c r="D55" s="144" t="s">
        <v>201</v>
      </c>
      <c r="E55" s="145" t="s">
        <v>202</v>
      </c>
    </row>
    <row r="56" spans="1:9" ht="21">
      <c r="A56" s="15">
        <v>540</v>
      </c>
      <c r="B56" s="15" t="s">
        <v>203</v>
      </c>
      <c r="C56" s="15" t="s">
        <v>204</v>
      </c>
      <c r="D56" s="144" t="s">
        <v>205</v>
      </c>
      <c r="E56" s="145" t="s">
        <v>206</v>
      </c>
    </row>
    <row r="57" spans="1:9" ht="42">
      <c r="A57" s="15">
        <v>550</v>
      </c>
      <c r="B57" s="15" t="s">
        <v>131</v>
      </c>
      <c r="C57" s="15" t="s">
        <v>132</v>
      </c>
      <c r="D57" s="144" t="s">
        <v>207</v>
      </c>
      <c r="E57" s="145" t="s">
        <v>208</v>
      </c>
      <c r="G57" s="117"/>
      <c r="H57" s="117"/>
      <c r="I57" s="117"/>
    </row>
    <row r="58" spans="1:9" ht="21">
      <c r="A58" s="15">
        <v>560</v>
      </c>
      <c r="B58" s="15" t="s">
        <v>209</v>
      </c>
      <c r="C58" s="15" t="s">
        <v>210</v>
      </c>
      <c r="D58" s="144" t="s">
        <v>211</v>
      </c>
      <c r="E58" s="145" t="s">
        <v>212</v>
      </c>
      <c r="G58" s="119"/>
      <c r="H58" s="118"/>
      <c r="I58" s="118"/>
    </row>
    <row r="59" spans="1:9" ht="21">
      <c r="A59" s="15">
        <v>570</v>
      </c>
      <c r="B59" s="15" t="s">
        <v>213</v>
      </c>
      <c r="C59" s="15" t="s">
        <v>214</v>
      </c>
      <c r="D59" s="144" t="s">
        <v>215</v>
      </c>
      <c r="E59" s="145" t="s">
        <v>216</v>
      </c>
      <c r="G59" s="119"/>
      <c r="H59" s="118"/>
      <c r="I59" s="118"/>
    </row>
    <row r="60" spans="1:9" ht="21">
      <c r="A60" s="15">
        <v>580</v>
      </c>
      <c r="B60" s="15" t="s">
        <v>217</v>
      </c>
      <c r="C60" s="15" t="s">
        <v>218</v>
      </c>
      <c r="D60" s="144" t="s">
        <v>219</v>
      </c>
      <c r="E60" s="145" t="s">
        <v>220</v>
      </c>
      <c r="G60" s="119"/>
      <c r="H60" s="118"/>
      <c r="I60" s="118"/>
    </row>
    <row r="61" spans="1:9" ht="21">
      <c r="A61" s="15">
        <v>590</v>
      </c>
      <c r="B61" s="15" t="s">
        <v>221</v>
      </c>
      <c r="C61" s="15" t="s">
        <v>222</v>
      </c>
      <c r="D61" s="144" t="s">
        <v>223</v>
      </c>
      <c r="E61" s="145" t="s">
        <v>224</v>
      </c>
      <c r="G61" s="119"/>
      <c r="H61" s="118"/>
      <c r="I61" s="118"/>
    </row>
    <row r="62" spans="1:9" ht="21">
      <c r="A62" s="15">
        <v>600</v>
      </c>
      <c r="B62" s="15" t="s">
        <v>225</v>
      </c>
      <c r="C62" s="15" t="s">
        <v>226</v>
      </c>
      <c r="D62" s="144" t="s">
        <v>227</v>
      </c>
      <c r="E62" s="145" t="s">
        <v>228</v>
      </c>
      <c r="G62" s="119"/>
      <c r="H62" s="118"/>
      <c r="I62" s="118"/>
    </row>
    <row r="63" spans="1:9" ht="21">
      <c r="A63" s="15">
        <v>610</v>
      </c>
      <c r="B63" s="15" t="s">
        <v>23</v>
      </c>
      <c r="C63" s="15" t="s">
        <v>24</v>
      </c>
      <c r="D63" s="144" t="s">
        <v>25</v>
      </c>
      <c r="E63" s="145" t="s">
        <v>26</v>
      </c>
      <c r="G63" s="119"/>
      <c r="H63" s="118"/>
      <c r="I63" s="118"/>
    </row>
    <row r="64" spans="1:9" ht="21">
      <c r="A64" s="15">
        <v>620</v>
      </c>
      <c r="B64" s="15" t="s">
        <v>229</v>
      </c>
      <c r="C64" s="15" t="s">
        <v>230</v>
      </c>
      <c r="D64" s="144" t="s">
        <v>231</v>
      </c>
      <c r="E64" s="145" t="s">
        <v>232</v>
      </c>
      <c r="G64" s="119"/>
      <c r="H64" s="118"/>
      <c r="I64" s="118"/>
    </row>
    <row r="65" spans="1:9" ht="21">
      <c r="A65" s="15">
        <v>630</v>
      </c>
      <c r="B65" s="15" t="s">
        <v>233</v>
      </c>
      <c r="C65" s="15" t="s">
        <v>234</v>
      </c>
      <c r="D65" s="144" t="s">
        <v>235</v>
      </c>
      <c r="E65" s="145" t="s">
        <v>236</v>
      </c>
      <c r="G65" s="119"/>
      <c r="H65" s="118"/>
      <c r="I65" s="118"/>
    </row>
    <row r="66" spans="1:9" ht="21">
      <c r="A66" s="15">
        <v>640</v>
      </c>
      <c r="B66" s="15" t="s">
        <v>237</v>
      </c>
      <c r="C66" s="15" t="s">
        <v>238</v>
      </c>
      <c r="D66" s="144" t="s">
        <v>239</v>
      </c>
      <c r="E66" s="145" t="s">
        <v>240</v>
      </c>
      <c r="G66" s="119"/>
      <c r="H66" s="118"/>
      <c r="I66" s="118"/>
    </row>
    <row r="67" spans="1:9" ht="21">
      <c r="A67" s="15">
        <v>650</v>
      </c>
      <c r="B67" s="15" t="s">
        <v>241</v>
      </c>
      <c r="C67" s="15" t="s">
        <v>241</v>
      </c>
      <c r="D67" s="144" t="s">
        <v>242</v>
      </c>
      <c r="E67" s="145" t="s">
        <v>243</v>
      </c>
      <c r="G67" s="119"/>
      <c r="H67" s="118"/>
      <c r="I67" s="118"/>
    </row>
    <row r="68" spans="1:9" ht="42">
      <c r="A68" s="15">
        <v>660</v>
      </c>
      <c r="B68" s="15" t="s">
        <v>244</v>
      </c>
      <c r="C68" s="15" t="s">
        <v>245</v>
      </c>
      <c r="D68" s="144" t="s">
        <v>246</v>
      </c>
      <c r="E68" s="145" t="s">
        <v>247</v>
      </c>
      <c r="G68" s="119"/>
      <c r="H68" s="118"/>
      <c r="I68" s="118"/>
    </row>
    <row r="69" spans="1:9" ht="21">
      <c r="A69" s="15">
        <v>670</v>
      </c>
      <c r="B69" s="15" t="s">
        <v>248</v>
      </c>
      <c r="C69" s="15" t="s">
        <v>248</v>
      </c>
      <c r="D69" s="144" t="s">
        <v>249</v>
      </c>
      <c r="E69" s="145" t="s">
        <v>250</v>
      </c>
      <c r="G69" s="119"/>
      <c r="H69" s="118"/>
      <c r="I69" s="118"/>
    </row>
    <row r="70" spans="1:9" ht="21">
      <c r="A70" s="15">
        <v>680</v>
      </c>
      <c r="B70" s="15" t="s">
        <v>251</v>
      </c>
      <c r="C70" s="15" t="s">
        <v>252</v>
      </c>
      <c r="D70" s="144" t="s">
        <v>253</v>
      </c>
      <c r="E70" s="145" t="s">
        <v>254</v>
      </c>
      <c r="G70" s="119"/>
      <c r="H70" s="118"/>
      <c r="I70" s="118"/>
    </row>
    <row r="71" spans="1:9" ht="21">
      <c r="A71" s="15">
        <v>690</v>
      </c>
      <c r="B71" s="15" t="s">
        <v>255</v>
      </c>
      <c r="C71" s="15" t="s">
        <v>256</v>
      </c>
      <c r="D71" s="144" t="s">
        <v>257</v>
      </c>
      <c r="E71" s="145" t="s">
        <v>258</v>
      </c>
    </row>
    <row r="72" spans="1:9" ht="21">
      <c r="A72" s="15">
        <v>700</v>
      </c>
      <c r="B72" s="15" t="s">
        <v>259</v>
      </c>
      <c r="C72" s="15" t="s">
        <v>260</v>
      </c>
      <c r="D72" s="144" t="s">
        <v>261</v>
      </c>
      <c r="E72" s="145" t="s">
        <v>262</v>
      </c>
    </row>
    <row r="73" spans="1:9" ht="21">
      <c r="A73" s="15">
        <v>710</v>
      </c>
      <c r="B73" s="15" t="s">
        <v>263</v>
      </c>
      <c r="C73" s="15" t="s">
        <v>264</v>
      </c>
      <c r="D73" s="144" t="s">
        <v>265</v>
      </c>
      <c r="E73" s="145" t="s">
        <v>266</v>
      </c>
    </row>
    <row r="74" spans="1:9" ht="21">
      <c r="A74" s="15">
        <v>720</v>
      </c>
      <c r="B74" s="15" t="s">
        <v>267</v>
      </c>
      <c r="C74" s="15" t="s">
        <v>268</v>
      </c>
      <c r="D74" s="144" t="s">
        <v>269</v>
      </c>
      <c r="E74" s="145" t="s">
        <v>270</v>
      </c>
    </row>
    <row r="75" spans="1:9" ht="21">
      <c r="A75" s="15">
        <v>730</v>
      </c>
      <c r="B75" s="15" t="s">
        <v>271</v>
      </c>
      <c r="C75" s="15" t="s">
        <v>272</v>
      </c>
      <c r="D75" s="144" t="s">
        <v>273</v>
      </c>
      <c r="E75" s="145" t="s">
        <v>274</v>
      </c>
    </row>
    <row r="76" spans="1:9" ht="21">
      <c r="A76" s="15">
        <v>740</v>
      </c>
      <c r="B76" s="15" t="s">
        <v>275</v>
      </c>
      <c r="C76" s="15" t="s">
        <v>276</v>
      </c>
      <c r="D76" s="144" t="s">
        <v>277</v>
      </c>
      <c r="E76" s="145" t="s">
        <v>278</v>
      </c>
    </row>
    <row r="77" spans="1:9" ht="21">
      <c r="A77" s="15">
        <v>750</v>
      </c>
      <c r="B77" s="15" t="s">
        <v>279</v>
      </c>
      <c r="C77" s="15" t="s">
        <v>279</v>
      </c>
      <c r="D77" s="144" t="s">
        <v>280</v>
      </c>
      <c r="E77" s="145" t="s">
        <v>281</v>
      </c>
    </row>
    <row r="78" spans="1:9" ht="21">
      <c r="A78" s="144">
        <v>760</v>
      </c>
      <c r="B78" s="15" t="s">
        <v>282</v>
      </c>
      <c r="C78" s="15" t="s">
        <v>283</v>
      </c>
      <c r="D78" s="144" t="s">
        <v>284</v>
      </c>
      <c r="E78" s="145" t="s">
        <v>285</v>
      </c>
    </row>
    <row r="79" spans="1:9" ht="21">
      <c r="A79" s="15">
        <v>770</v>
      </c>
      <c r="B79" s="144" t="s">
        <v>286</v>
      </c>
      <c r="C79" s="15" t="s">
        <v>287</v>
      </c>
      <c r="D79" s="15" t="s">
        <v>288</v>
      </c>
      <c r="E79" s="15" t="s">
        <v>289</v>
      </c>
    </row>
    <row r="80" spans="1:9" ht="21">
      <c r="A80" s="15">
        <v>780</v>
      </c>
      <c r="B80" s="15" t="s">
        <v>290</v>
      </c>
      <c r="C80" s="15" t="s">
        <v>291</v>
      </c>
      <c r="D80" s="144" t="s">
        <v>292</v>
      </c>
      <c r="E80" s="145" t="s">
        <v>293</v>
      </c>
    </row>
    <row r="81" spans="1:5" ht="21">
      <c r="A81" s="15">
        <v>790</v>
      </c>
      <c r="B81" s="15" t="s">
        <v>294</v>
      </c>
      <c r="C81" s="15" t="s">
        <v>295</v>
      </c>
      <c r="D81" s="144" t="s">
        <v>296</v>
      </c>
      <c r="E81" s="145" t="s">
        <v>297</v>
      </c>
    </row>
    <row r="82" spans="1:5" ht="21">
      <c r="A82" s="15">
        <v>800</v>
      </c>
      <c r="B82" s="15" t="s">
        <v>298</v>
      </c>
      <c r="C82" s="15" t="s">
        <v>299</v>
      </c>
      <c r="D82" s="144" t="s">
        <v>300</v>
      </c>
      <c r="E82" s="145" t="s">
        <v>301</v>
      </c>
    </row>
    <row r="83" spans="1:5" ht="21">
      <c r="A83" s="15">
        <v>810</v>
      </c>
      <c r="B83" s="15" t="s">
        <v>302</v>
      </c>
      <c r="C83" s="15" t="s">
        <v>303</v>
      </c>
      <c r="D83" s="144" t="s">
        <v>304</v>
      </c>
      <c r="E83" s="145" t="s">
        <v>305</v>
      </c>
    </row>
    <row r="84" spans="1:5" ht="21">
      <c r="A84" s="144">
        <v>820</v>
      </c>
      <c r="B84" s="15" t="s">
        <v>306</v>
      </c>
      <c r="C84" s="15" t="s">
        <v>307</v>
      </c>
      <c r="D84" s="144" t="s">
        <v>308</v>
      </c>
      <c r="E84" s="145" t="s">
        <v>309</v>
      </c>
    </row>
    <row r="85" spans="1:5" ht="42">
      <c r="A85" s="144">
        <v>830</v>
      </c>
      <c r="B85" s="144" t="s">
        <v>310</v>
      </c>
      <c r="C85" s="144" t="s">
        <v>310</v>
      </c>
      <c r="D85" s="144" t="s">
        <v>311</v>
      </c>
      <c r="E85" s="145" t="s">
        <v>312</v>
      </c>
    </row>
    <row r="86" spans="1:5" ht="42">
      <c r="A86" s="144">
        <v>840</v>
      </c>
      <c r="B86" s="144" t="s">
        <v>313</v>
      </c>
      <c r="C86" s="144" t="s">
        <v>314</v>
      </c>
      <c r="D86" s="144" t="s">
        <v>315</v>
      </c>
      <c r="E86" s="145" t="s">
        <v>316</v>
      </c>
    </row>
    <row r="87" spans="1:5" ht="84">
      <c r="A87" s="144">
        <v>850</v>
      </c>
      <c r="B87" s="144" t="s">
        <v>317</v>
      </c>
      <c r="C87" s="144" t="s">
        <v>318</v>
      </c>
      <c r="D87" s="144" t="s">
        <v>319</v>
      </c>
      <c r="E87" s="144" t="s">
        <v>320</v>
      </c>
    </row>
    <row r="88" spans="1:5" ht="42">
      <c r="A88" s="144">
        <v>860</v>
      </c>
      <c r="B88" s="144" t="s">
        <v>321</v>
      </c>
      <c r="C88" s="144" t="s">
        <v>322</v>
      </c>
      <c r="D88" s="144" t="s">
        <v>323</v>
      </c>
      <c r="E88" s="145" t="s">
        <v>324</v>
      </c>
    </row>
    <row r="89" spans="1:5" ht="21">
      <c r="A89" s="144">
        <v>870</v>
      </c>
      <c r="B89" s="144" t="s">
        <v>325</v>
      </c>
      <c r="C89" s="144" t="s">
        <v>326</v>
      </c>
      <c r="D89" s="144" t="s">
        <v>327</v>
      </c>
      <c r="E89" s="145" t="s">
        <v>328</v>
      </c>
    </row>
    <row r="90" spans="1:5" ht="21">
      <c r="A90" s="144">
        <v>880</v>
      </c>
      <c r="B90" s="144" t="s">
        <v>329</v>
      </c>
      <c r="C90" s="144" t="s">
        <v>330</v>
      </c>
      <c r="D90" s="144" t="s">
        <v>331</v>
      </c>
      <c r="E90" s="145" t="s">
        <v>332</v>
      </c>
    </row>
    <row r="91" spans="1:5" ht="21">
      <c r="A91" s="144">
        <v>890</v>
      </c>
      <c r="B91" s="144" t="s">
        <v>333</v>
      </c>
      <c r="C91" s="144" t="s">
        <v>334</v>
      </c>
      <c r="D91" s="144" t="s">
        <v>335</v>
      </c>
      <c r="E91" s="145" t="s">
        <v>336</v>
      </c>
    </row>
    <row r="92" spans="1:5" ht="21">
      <c r="A92" s="144">
        <v>900</v>
      </c>
      <c r="B92" s="144" t="s">
        <v>337</v>
      </c>
      <c r="C92" s="144" t="s">
        <v>338</v>
      </c>
      <c r="D92" s="144" t="s">
        <v>339</v>
      </c>
      <c r="E92" s="145" t="s">
        <v>340</v>
      </c>
    </row>
    <row r="93" spans="1:5" ht="42">
      <c r="A93" s="144">
        <v>910</v>
      </c>
      <c r="B93" s="144" t="s">
        <v>341</v>
      </c>
      <c r="C93" s="144" t="s">
        <v>342</v>
      </c>
      <c r="D93" s="144" t="s">
        <v>343</v>
      </c>
      <c r="E93" s="145" t="s">
        <v>344</v>
      </c>
    </row>
    <row r="94" spans="1:5" ht="21">
      <c r="A94" s="15">
        <v>920</v>
      </c>
      <c r="B94" s="144" t="s">
        <v>345</v>
      </c>
      <c r="C94" s="144" t="s">
        <v>346</v>
      </c>
      <c r="D94" s="145" t="s">
        <v>347</v>
      </c>
      <c r="E94" s="145" t="s">
        <v>348</v>
      </c>
    </row>
    <row r="95" spans="1:5" ht="21">
      <c r="A95" s="15">
        <v>930</v>
      </c>
      <c r="B95" s="144" t="s">
        <v>349</v>
      </c>
      <c r="C95" s="144" t="s">
        <v>350</v>
      </c>
      <c r="D95" s="144" t="s">
        <v>351</v>
      </c>
      <c r="E95" s="145" t="s">
        <v>352</v>
      </c>
    </row>
    <row r="96" spans="1:5" ht="21">
      <c r="A96" s="15">
        <v>940</v>
      </c>
      <c r="B96" s="144" t="s">
        <v>353</v>
      </c>
      <c r="C96" s="144" t="s">
        <v>354</v>
      </c>
      <c r="D96" s="145" t="s">
        <v>355</v>
      </c>
      <c r="E96" s="145" t="s">
        <v>356</v>
      </c>
    </row>
    <row r="97" spans="1:5" ht="21">
      <c r="A97" s="15">
        <v>950</v>
      </c>
      <c r="B97" s="144" t="s">
        <v>357</v>
      </c>
      <c r="C97" s="144" t="s">
        <v>358</v>
      </c>
      <c r="D97" s="145" t="s">
        <v>359</v>
      </c>
      <c r="E97" s="145" t="s">
        <v>360</v>
      </c>
    </row>
    <row r="98" spans="1:5" ht="21">
      <c r="A98" s="15">
        <v>960</v>
      </c>
      <c r="B98" s="144" t="s">
        <v>361</v>
      </c>
      <c r="C98" s="144" t="s">
        <v>362</v>
      </c>
      <c r="D98" s="144" t="s">
        <v>363</v>
      </c>
      <c r="E98" s="144" t="s">
        <v>364</v>
      </c>
    </row>
    <row r="99" spans="1:5" ht="21.6">
      <c r="A99" s="15">
        <v>970</v>
      </c>
      <c r="B99" s="144" t="s">
        <v>109</v>
      </c>
      <c r="C99" s="144" t="s">
        <v>365</v>
      </c>
      <c r="D99" s="169" t="s">
        <v>366</v>
      </c>
      <c r="E99" s="15" t="s">
        <v>367</v>
      </c>
    </row>
    <row r="100" spans="1:5" s="172" customFormat="1" ht="57.6">
      <c r="A100" s="145">
        <v>980</v>
      </c>
      <c r="B100" s="144" t="s">
        <v>143</v>
      </c>
      <c r="C100" s="144" t="s">
        <v>368</v>
      </c>
      <c r="D100" s="171" t="s">
        <v>369</v>
      </c>
      <c r="E100" s="144" t="s">
        <v>370</v>
      </c>
    </row>
    <row r="101" spans="1:5" ht="21">
      <c r="A101" s="15">
        <v>990</v>
      </c>
      <c r="B101" s="144" t="s">
        <v>1022</v>
      </c>
      <c r="C101" s="144" t="s">
        <v>1025</v>
      </c>
      <c r="D101" s="197" t="s">
        <v>1024</v>
      </c>
      <c r="E101" s="197" t="s">
        <v>1023</v>
      </c>
    </row>
    <row r="102" spans="1:5" ht="84">
      <c r="A102" s="15">
        <v>1000</v>
      </c>
      <c r="B102" s="144" t="s">
        <v>1007</v>
      </c>
      <c r="C102" s="144" t="s">
        <v>1026</v>
      </c>
      <c r="D102" s="144" t="s">
        <v>1027</v>
      </c>
      <c r="E102" s="144" t="s">
        <v>1028</v>
      </c>
    </row>
    <row r="103" spans="1:5" ht="84">
      <c r="A103" s="15">
        <v>1010</v>
      </c>
      <c r="B103" s="144" t="s">
        <v>1006</v>
      </c>
      <c r="C103" s="144" t="s">
        <v>1029</v>
      </c>
      <c r="D103" s="144" t="s">
        <v>1031</v>
      </c>
      <c r="E103" s="144" t="s">
        <v>1030</v>
      </c>
    </row>
    <row r="104" spans="1:5">
      <c r="B104" s="119"/>
      <c r="C104" s="119"/>
      <c r="D104" s="118"/>
      <c r="E104" s="118"/>
    </row>
    <row r="105" spans="1:5">
      <c r="B105" s="119"/>
      <c r="C105" s="119"/>
      <c r="D105" s="118"/>
      <c r="E105" s="118"/>
    </row>
    <row r="106" spans="1:5">
      <c r="B106" s="119"/>
      <c r="C106" s="119"/>
      <c r="D106" s="118"/>
      <c r="E106" s="118"/>
    </row>
    <row r="107" spans="1:5">
      <c r="B107" s="119"/>
      <c r="C107" s="119"/>
      <c r="D107" s="118"/>
      <c r="E107" s="118"/>
    </row>
    <row r="108" spans="1:5">
      <c r="B108" s="119"/>
      <c r="C108" s="119"/>
      <c r="D108" s="118"/>
      <c r="E108" s="118"/>
    </row>
    <row r="109" spans="1:5">
      <c r="B109" s="119"/>
      <c r="C109" s="119"/>
      <c r="D109" s="118"/>
      <c r="E109" s="118"/>
    </row>
    <row r="110" spans="1:5">
      <c r="B110" s="119"/>
      <c r="C110" s="119"/>
      <c r="D110" s="118"/>
      <c r="E110" s="118"/>
    </row>
    <row r="111" spans="1:5">
      <c r="B111" s="119"/>
      <c r="C111" s="119"/>
      <c r="D111" s="118"/>
      <c r="E111" s="118"/>
    </row>
    <row r="112" spans="1:5">
      <c r="B112" s="119"/>
      <c r="C112" s="119"/>
      <c r="D112" s="118"/>
      <c r="E112" s="118"/>
    </row>
    <row r="113" spans="2:5">
      <c r="B113" s="119"/>
      <c r="C113" s="119"/>
      <c r="D113" s="118"/>
      <c r="E113" s="118"/>
    </row>
    <row r="114" spans="2:5">
      <c r="B114" s="119"/>
      <c r="C114" s="119"/>
      <c r="D114" s="118"/>
      <c r="E114" s="118"/>
    </row>
    <row r="115" spans="2:5">
      <c r="B115" s="119"/>
      <c r="C115" s="119"/>
      <c r="D115" s="118"/>
      <c r="E115" s="118"/>
    </row>
    <row r="116" spans="2:5">
      <c r="B116" s="119"/>
      <c r="C116" s="119"/>
      <c r="D116" s="118"/>
      <c r="E116" s="118"/>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D3534-8B4A-4CE5-8291-B1D996F7C9F8}">
  <sheetPr codeName="Sheet19">
    <tabColor theme="8" tint="-0.499984740745262"/>
  </sheetPr>
  <dimension ref="A2:Q240"/>
  <sheetViews>
    <sheetView topLeftCell="A196" workbookViewId="0">
      <selection activeCell="C208" sqref="C208"/>
    </sheetView>
  </sheetViews>
  <sheetFormatPr defaultColWidth="9.109375" defaultRowHeight="14.4"/>
  <cols>
    <col min="2" max="2" width="52.33203125" customWidth="1"/>
    <col min="3" max="3" width="57" customWidth="1"/>
    <col min="4" max="4" width="31" customWidth="1"/>
    <col min="5" max="5" width="37.5546875" customWidth="1"/>
    <col min="6" max="7" width="35.109375" bestFit="1" customWidth="1"/>
    <col min="10" max="10" width="15.109375" bestFit="1" customWidth="1"/>
    <col min="16" max="16" width="13" bestFit="1" customWidth="1"/>
    <col min="17" max="17" width="12.33203125" bestFit="1" customWidth="1"/>
    <col min="18" max="18" width="14.6640625" bestFit="1" customWidth="1"/>
    <col min="19" max="19" width="13.88671875" bestFit="1" customWidth="1"/>
  </cols>
  <sheetData>
    <row r="2" spans="1:17">
      <c r="J2" t="s">
        <v>371</v>
      </c>
      <c r="K2" t="s">
        <v>372</v>
      </c>
    </row>
    <row r="3" spans="1:17" ht="23.4">
      <c r="C3" s="20" t="s">
        <v>373</v>
      </c>
      <c r="K3" t="s">
        <v>374</v>
      </c>
    </row>
    <row r="4" spans="1:17">
      <c r="C4">
        <v>1</v>
      </c>
    </row>
    <row r="5" spans="1:17" ht="23.4">
      <c r="C5" s="21" t="s">
        <v>375</v>
      </c>
    </row>
    <row r="7" spans="1:17" ht="25.8">
      <c r="C7" s="24" t="s">
        <v>373</v>
      </c>
    </row>
    <row r="8" spans="1:17" ht="25.8">
      <c r="C8" s="24" t="s">
        <v>375</v>
      </c>
    </row>
    <row r="12" spans="1:17">
      <c r="A12" t="s">
        <v>376</v>
      </c>
      <c r="B12" t="s">
        <v>377</v>
      </c>
      <c r="C12" t="s">
        <v>378</v>
      </c>
      <c r="D12" t="s">
        <v>379</v>
      </c>
      <c r="E12" t="s">
        <v>380</v>
      </c>
      <c r="N12" t="s">
        <v>381</v>
      </c>
      <c r="O12" t="s">
        <v>382</v>
      </c>
      <c r="P12" t="s">
        <v>383</v>
      </c>
      <c r="Q12" t="s">
        <v>384</v>
      </c>
    </row>
    <row r="13" spans="1:17">
      <c r="A13" t="s">
        <v>389</v>
      </c>
      <c r="B13" t="s">
        <v>390</v>
      </c>
      <c r="C13" t="s">
        <v>391</v>
      </c>
      <c r="D13" t="s">
        <v>1042</v>
      </c>
      <c r="E13" t="str" cm="1">
        <f t="array" ref="E13">_xlfn.UNICHAR(10148)&amp;" "&amp;IF(eng_flag,Tableau4[[#This Row],[MENU ENG]],Tableau4[[#This Row],[MENU FR]])</f>
        <v>➤ Array functions</v>
      </c>
      <c r="M13">
        <v>1</v>
      </c>
      <c r="N13" t="s">
        <v>385</v>
      </c>
      <c r="O13" t="s">
        <v>386</v>
      </c>
      <c r="P13" t="s">
        <v>387</v>
      </c>
      <c r="Q13" t="s">
        <v>388</v>
      </c>
    </row>
    <row r="14" spans="1:17">
      <c r="A14">
        <v>10</v>
      </c>
      <c r="B14" t="s">
        <v>1017</v>
      </c>
      <c r="C14" t="s">
        <v>1018</v>
      </c>
      <c r="D14" t="s">
        <v>1019</v>
      </c>
      <c r="E14" t="str" cm="1">
        <f t="array" ref="E14">_xlfn.UNICHAR(10148)&amp;" "&amp;IF(eng_flag,Tableau4[[#This Row],[MENU ENG]],Tableau4[[#This Row],[MENU FR]])</f>
        <v>➤ IF-AND-OR-XOR</v>
      </c>
      <c r="M14">
        <v>2</v>
      </c>
      <c r="N14" t="s">
        <v>392</v>
      </c>
      <c r="O14" t="s">
        <v>393</v>
      </c>
      <c r="P14" t="s">
        <v>394</v>
      </c>
      <c r="Q14" t="s">
        <v>395</v>
      </c>
    </row>
    <row r="15" spans="1:17">
      <c r="A15">
        <v>50</v>
      </c>
      <c r="B15" t="s">
        <v>5</v>
      </c>
      <c r="C15" t="s">
        <v>6</v>
      </c>
      <c r="D15" t="s">
        <v>1041</v>
      </c>
      <c r="E15" t="str" cm="1">
        <f t="array" ref="E15">_xlfn.UNICHAR(10148)&amp;" "&amp;IF(eng_flag,Tableau4[[#This Row],[MENU ENG]],Tableau4[[#This Row],[MENU FR]])</f>
        <v>➤ FILTER</v>
      </c>
      <c r="M15">
        <v>3</v>
      </c>
      <c r="N15" t="s">
        <v>396</v>
      </c>
      <c r="O15" t="s">
        <v>396</v>
      </c>
      <c r="P15" t="s">
        <v>397</v>
      </c>
      <c r="Q15" t="s">
        <v>398</v>
      </c>
    </row>
    <row r="16" spans="1:17">
      <c r="A16">
        <v>50</v>
      </c>
      <c r="B16" t="s">
        <v>425</v>
      </c>
      <c r="C16" t="s">
        <v>426</v>
      </c>
      <c r="D16" t="s">
        <v>1040</v>
      </c>
      <c r="E16" t="str" cm="1">
        <f t="array" ref="E16">_xlfn.UNICHAR(10148)&amp;" "&amp;IF(eng_flag,Tableau4[[#This Row],[MENU ENG]],Tableau4[[#This Row],[MENU FR]])</f>
        <v>➤ SORT | SORTBY</v>
      </c>
      <c r="M16">
        <v>4</v>
      </c>
      <c r="N16" t="s">
        <v>399</v>
      </c>
      <c r="O16" t="s">
        <v>400</v>
      </c>
      <c r="P16" t="s">
        <v>401</v>
      </c>
      <c r="Q16" t="s">
        <v>402</v>
      </c>
    </row>
    <row r="17" spans="1:17">
      <c r="A17">
        <v>60</v>
      </c>
      <c r="B17" t="s">
        <v>431</v>
      </c>
      <c r="C17" t="s">
        <v>432</v>
      </c>
      <c r="D17" t="s">
        <v>1039</v>
      </c>
      <c r="E17" t="str" cm="1">
        <f t="array" ref="E17">_xlfn.UNICHAR(10148)&amp;" "&amp;IF(eng_flag,Tableau4[[#This Row],[MENU ENG]],Tableau4[[#This Row],[MENU FR]])</f>
        <v>➤ INDEX | XMATCH | OFFSET</v>
      </c>
      <c r="M17">
        <v>5</v>
      </c>
      <c r="N17" t="s">
        <v>403</v>
      </c>
      <c r="O17" t="s">
        <v>403</v>
      </c>
      <c r="P17" t="s">
        <v>404</v>
      </c>
      <c r="Q17" t="s">
        <v>404</v>
      </c>
    </row>
    <row r="18" spans="1:17">
      <c r="A18">
        <v>60</v>
      </c>
      <c r="B18" t="s">
        <v>1015</v>
      </c>
      <c r="C18" t="s">
        <v>1016</v>
      </c>
      <c r="D18" t="s">
        <v>1038</v>
      </c>
      <c r="E18" t="str" cm="1">
        <f t="array" ref="E18">_xlfn.UNICHAR(10148)&amp;" "&amp;IF(eng_flag,Tableau4[[#This Row],[MENU ENG]],Tableau4[[#This Row],[MENU FR]])</f>
        <v xml:space="preserve">➤ V/HLOOKUP </v>
      </c>
      <c r="M18">
        <v>6</v>
      </c>
      <c r="N18" t="s">
        <v>405</v>
      </c>
      <c r="O18" t="s">
        <v>405</v>
      </c>
      <c r="P18" t="s">
        <v>406</v>
      </c>
      <c r="Q18" t="s">
        <v>407</v>
      </c>
    </row>
    <row r="19" spans="1:17">
      <c r="A19">
        <v>60</v>
      </c>
      <c r="B19" t="s">
        <v>321</v>
      </c>
      <c r="C19" t="s">
        <v>322</v>
      </c>
      <c r="D19" t="s">
        <v>1037</v>
      </c>
      <c r="E19" t="str" cm="1">
        <f t="array" ref="E19">_xlfn.UNICHAR(10148)&amp;" "&amp;IF(eng_flag,Tableau4[[#This Row],[MENU ENG]],Tableau4[[#This Row],[MENU FR]])</f>
        <v>➤ HLOOKUP</v>
      </c>
      <c r="M19">
        <v>7</v>
      </c>
      <c r="N19" t="s">
        <v>408</v>
      </c>
      <c r="O19" t="s">
        <v>409</v>
      </c>
      <c r="P19" t="s">
        <v>410</v>
      </c>
      <c r="Q19" t="s">
        <v>411</v>
      </c>
    </row>
    <row r="20" spans="1:17">
      <c r="A20">
        <v>60</v>
      </c>
      <c r="B20" t="s">
        <v>67</v>
      </c>
      <c r="C20" t="s">
        <v>68</v>
      </c>
      <c r="D20" t="s">
        <v>1036</v>
      </c>
      <c r="E20" t="str" cm="1">
        <f t="array" ref="E20">_xlfn.UNICHAR(10148)&amp;" "&amp;IF(eng_flag,Tableau4[[#This Row],[MENU ENG]],Tableau4[[#This Row],[MENU FR]])</f>
        <v>➤ XLOOKUP</v>
      </c>
      <c r="M20">
        <v>8</v>
      </c>
      <c r="N20" t="s">
        <v>412</v>
      </c>
      <c r="O20" t="s">
        <v>412</v>
      </c>
      <c r="P20" t="s">
        <v>413</v>
      </c>
      <c r="Q20" t="s">
        <v>414</v>
      </c>
    </row>
    <row r="21" spans="1:17">
      <c r="A21">
        <v>70</v>
      </c>
      <c r="B21" t="s">
        <v>434</v>
      </c>
      <c r="C21" t="s">
        <v>435</v>
      </c>
      <c r="D21" t="s">
        <v>1035</v>
      </c>
      <c r="E21" t="str" cm="1">
        <f t="array" ref="E21">_xlfn.UNICHAR(10148)&amp;" "&amp;IF(eng_flag,Tableau4[[#This Row],[MENU ENG]],Tableau4[[#This Row],[MENU FR]])</f>
        <v>➤ FREQUENCY - RANK.EQ</v>
      </c>
      <c r="M21">
        <v>9</v>
      </c>
      <c r="N21" t="s">
        <v>415</v>
      </c>
      <c r="O21" t="s">
        <v>416</v>
      </c>
      <c r="P21" t="s">
        <v>417</v>
      </c>
      <c r="Q21" t="s">
        <v>418</v>
      </c>
    </row>
    <row r="22" spans="1:17">
      <c r="A22">
        <v>78</v>
      </c>
      <c r="B22" t="s">
        <v>440</v>
      </c>
      <c r="C22" t="s">
        <v>441</v>
      </c>
      <c r="D22" t="s">
        <v>1034</v>
      </c>
      <c r="E22" t="str" cm="1">
        <f t="array" ref="E22">_xlfn.UNICHAR(10148)&amp;" "&amp;IF(eng_flag,Tableau4[[#This Row],[MENU ENG]],Tableau4[[#This Row],[MENU FR]])</f>
        <v>➤ MATRIX HANDLING</v>
      </c>
      <c r="M22">
        <v>10</v>
      </c>
      <c r="N22" t="s">
        <v>419</v>
      </c>
      <c r="O22" t="s">
        <v>420</v>
      </c>
      <c r="P22" t="s">
        <v>419</v>
      </c>
      <c r="Q22" t="s">
        <v>421</v>
      </c>
    </row>
    <row r="23" spans="1:17">
      <c r="A23">
        <v>100</v>
      </c>
      <c r="B23" t="s">
        <v>75</v>
      </c>
      <c r="C23" t="s">
        <v>75</v>
      </c>
      <c r="D23" t="s">
        <v>1033</v>
      </c>
      <c r="E23" t="str" cm="1">
        <f t="array" ref="E23">_xlfn.UNICHAR(10148)&amp;" "&amp;IF(eng_flag,Tableau4[[#This Row],[MENU ENG]],Tableau4[[#This Row],[MENU FR]])</f>
        <v>➤ LET</v>
      </c>
      <c r="M23">
        <v>11</v>
      </c>
      <c r="N23" t="s">
        <v>422</v>
      </c>
      <c r="O23" t="s">
        <v>423</v>
      </c>
      <c r="P23" t="s">
        <v>422</v>
      </c>
      <c r="Q23" t="s">
        <v>424</v>
      </c>
    </row>
    <row r="24" spans="1:17">
      <c r="A24">
        <v>110</v>
      </c>
      <c r="B24" t="s">
        <v>78</v>
      </c>
      <c r="C24" t="s">
        <v>78</v>
      </c>
      <c r="D24" t="s">
        <v>1032</v>
      </c>
      <c r="E24" t="str" cm="1">
        <f t="array" ref="E24">_xlfn.UNICHAR(10148)&amp;" "&amp;IF(eng_flag,Tableau4[[#This Row],[MENU ENG]],Tableau4[[#This Row],[MENU FR]])</f>
        <v>➤ LAMBDA</v>
      </c>
      <c r="M24">
        <v>12</v>
      </c>
      <c r="N24" t="s">
        <v>427</v>
      </c>
      <c r="O24" t="s">
        <v>428</v>
      </c>
      <c r="P24" t="s">
        <v>429</v>
      </c>
      <c r="Q24" t="s">
        <v>430</v>
      </c>
    </row>
    <row r="26" spans="1:17">
      <c r="A26" t="s">
        <v>452</v>
      </c>
    </row>
    <row r="28" spans="1:17">
      <c r="B28" t="s">
        <v>1020</v>
      </c>
      <c r="C28" t="s">
        <v>1021</v>
      </c>
      <c r="N28" t="s">
        <v>433</v>
      </c>
    </row>
    <row r="29" spans="1:17">
      <c r="A29" t="s">
        <v>453</v>
      </c>
      <c r="B29" t="s">
        <v>454</v>
      </c>
      <c r="C29" t="s">
        <v>455</v>
      </c>
      <c r="N29" t="s">
        <v>436</v>
      </c>
      <c r="O29" t="s">
        <v>437</v>
      </c>
    </row>
    <row r="30" spans="1:17">
      <c r="A30" t="s">
        <v>389</v>
      </c>
      <c r="B30" t="s">
        <v>456</v>
      </c>
      <c r="C30" t="s">
        <v>457</v>
      </c>
      <c r="N30" t="s">
        <v>438</v>
      </c>
      <c r="O30" t="s">
        <v>439</v>
      </c>
    </row>
    <row r="31" spans="1:17">
      <c r="B31" t="s">
        <v>458</v>
      </c>
      <c r="C31" t="s">
        <v>459</v>
      </c>
      <c r="N31" t="s">
        <v>442</v>
      </c>
      <c r="O31" t="s">
        <v>443</v>
      </c>
    </row>
    <row r="32" spans="1:17">
      <c r="B32" t="s">
        <v>460</v>
      </c>
      <c r="C32" t="s">
        <v>461</v>
      </c>
      <c r="N32" t="s">
        <v>444</v>
      </c>
      <c r="O32" t="s">
        <v>445</v>
      </c>
    </row>
    <row r="33" spans="2:16">
      <c r="B33" t="s">
        <v>462</v>
      </c>
      <c r="C33" t="s">
        <v>463</v>
      </c>
      <c r="O33" t="s">
        <v>446</v>
      </c>
      <c r="P33" t="s">
        <v>447</v>
      </c>
    </row>
    <row r="34" spans="2:16">
      <c r="B34" t="s">
        <v>464</v>
      </c>
      <c r="C34" t="s">
        <v>465</v>
      </c>
      <c r="O34" t="s">
        <v>448</v>
      </c>
      <c r="P34" t="s">
        <v>449</v>
      </c>
    </row>
    <row r="35" spans="2:16">
      <c r="B35" t="s">
        <v>466</v>
      </c>
      <c r="C35" t="s">
        <v>467</v>
      </c>
      <c r="O35" t="s">
        <v>450</v>
      </c>
      <c r="P35" t="s">
        <v>451</v>
      </c>
    </row>
    <row r="36" spans="2:16">
      <c r="B36" t="s">
        <v>468</v>
      </c>
      <c r="C36" t="s">
        <v>469</v>
      </c>
    </row>
    <row r="37" spans="2:16">
      <c r="B37" t="s">
        <v>470</v>
      </c>
      <c r="C37" t="s">
        <v>471</v>
      </c>
    </row>
    <row r="38" spans="2:16">
      <c r="B38" t="s">
        <v>472</v>
      </c>
      <c r="C38" t="s">
        <v>473</v>
      </c>
    </row>
    <row r="39" spans="2:16">
      <c r="B39" t="s">
        <v>474</v>
      </c>
      <c r="C39" t="s">
        <v>475</v>
      </c>
    </row>
    <row r="40" spans="2:16">
      <c r="B40" t="s">
        <v>476</v>
      </c>
      <c r="C40" s="77" t="s">
        <v>477</v>
      </c>
    </row>
    <row r="41" spans="2:16">
      <c r="B41" t="s">
        <v>478</v>
      </c>
      <c r="C41" s="77" t="s">
        <v>479</v>
      </c>
      <c r="D41" s="82"/>
    </row>
    <row r="42" spans="2:16">
      <c r="B42" t="s">
        <v>480</v>
      </c>
      <c r="C42" s="77" t="s">
        <v>481</v>
      </c>
      <c r="D42" s="83"/>
    </row>
    <row r="43" spans="2:16">
      <c r="B43" t="s">
        <v>482</v>
      </c>
      <c r="C43" s="77" t="s">
        <v>483</v>
      </c>
      <c r="D43" s="83"/>
    </row>
    <row r="44" spans="2:16">
      <c r="B44" t="s">
        <v>484</v>
      </c>
      <c r="C44" s="77" t="s">
        <v>485</v>
      </c>
      <c r="D44" s="11"/>
    </row>
    <row r="45" spans="2:16">
      <c r="B45" t="s">
        <v>486</v>
      </c>
      <c r="C45" t="s">
        <v>487</v>
      </c>
    </row>
    <row r="46" spans="2:16">
      <c r="B46" t="s">
        <v>488</v>
      </c>
      <c r="C46" t="s">
        <v>489</v>
      </c>
    </row>
    <row r="47" spans="2:16">
      <c r="B47" t="s">
        <v>490</v>
      </c>
      <c r="C47" t="s">
        <v>491</v>
      </c>
    </row>
    <row r="48" spans="2:16">
      <c r="B48" t="s">
        <v>492</v>
      </c>
      <c r="C48" t="s">
        <v>493</v>
      </c>
    </row>
    <row r="49" spans="2:3">
      <c r="B49" t="s">
        <v>494</v>
      </c>
      <c r="C49" t="s">
        <v>495</v>
      </c>
    </row>
    <row r="50" spans="2:3">
      <c r="B50" t="s">
        <v>496</v>
      </c>
      <c r="C50" t="s">
        <v>497</v>
      </c>
    </row>
    <row r="51" spans="2:3">
      <c r="B51" t="s">
        <v>498</v>
      </c>
      <c r="C51" s="13" t="s">
        <v>499</v>
      </c>
    </row>
    <row r="52" spans="2:3">
      <c r="B52" t="s">
        <v>500</v>
      </c>
      <c r="C52" s="13" t="s">
        <v>501</v>
      </c>
    </row>
    <row r="53" spans="2:3">
      <c r="B53" t="s">
        <v>502</v>
      </c>
      <c r="C53" t="s">
        <v>503</v>
      </c>
    </row>
    <row r="54" spans="2:3">
      <c r="B54" t="s">
        <v>504</v>
      </c>
      <c r="C54" t="s">
        <v>504</v>
      </c>
    </row>
    <row r="55" spans="2:3">
      <c r="B55" t="s">
        <v>505</v>
      </c>
      <c r="C55" t="s">
        <v>506</v>
      </c>
    </row>
    <row r="56" spans="2:3">
      <c r="B56" t="s">
        <v>507</v>
      </c>
      <c r="C56" t="s">
        <v>508</v>
      </c>
    </row>
    <row r="57" spans="2:3">
      <c r="B57" t="s">
        <v>509</v>
      </c>
      <c r="C57" t="s">
        <v>510</v>
      </c>
    </row>
    <row r="58" spans="2:3">
      <c r="B58" t="s">
        <v>511</v>
      </c>
      <c r="C58" t="s">
        <v>512</v>
      </c>
    </row>
    <row r="60" spans="2:3">
      <c r="B60" t="s">
        <v>71</v>
      </c>
      <c r="C60" t="s">
        <v>72</v>
      </c>
    </row>
    <row r="61" spans="2:3">
      <c r="B61" t="s">
        <v>313</v>
      </c>
      <c r="C61" t="s">
        <v>314</v>
      </c>
    </row>
    <row r="63" spans="2:3">
      <c r="B63" t="s">
        <v>513</v>
      </c>
      <c r="C63" t="s">
        <v>514</v>
      </c>
    </row>
    <row r="64" spans="2:3">
      <c r="B64" t="s">
        <v>515</v>
      </c>
      <c r="C64" t="s">
        <v>516</v>
      </c>
    </row>
    <row r="65" spans="2:3">
      <c r="B65" t="s">
        <v>517</v>
      </c>
      <c r="C65" t="s">
        <v>518</v>
      </c>
    </row>
    <row r="67" spans="2:3">
      <c r="B67" t="s">
        <v>519</v>
      </c>
      <c r="C67" t="s">
        <v>520</v>
      </c>
    </row>
    <row r="68" spans="2:3">
      <c r="B68" t="s">
        <v>521</v>
      </c>
      <c r="C68" t="s">
        <v>522</v>
      </c>
    </row>
    <row r="70" spans="2:3">
      <c r="B70" t="s">
        <v>523</v>
      </c>
      <c r="C70" t="s">
        <v>524</v>
      </c>
    </row>
    <row r="71" spans="2:3">
      <c r="B71" t="s">
        <v>525</v>
      </c>
      <c r="C71" t="s">
        <v>526</v>
      </c>
    </row>
    <row r="72" spans="2:3">
      <c r="B72" t="s">
        <v>527</v>
      </c>
      <c r="C72" t="s">
        <v>528</v>
      </c>
    </row>
    <row r="73" spans="2:3">
      <c r="B73" t="s">
        <v>529</v>
      </c>
      <c r="C73" t="s">
        <v>530</v>
      </c>
    </row>
    <row r="74" spans="2:3">
      <c r="B74" t="s">
        <v>531</v>
      </c>
      <c r="C74" t="s">
        <v>532</v>
      </c>
    </row>
    <row r="75" spans="2:3">
      <c r="B75" t="s">
        <v>533</v>
      </c>
      <c r="C75" t="s">
        <v>534</v>
      </c>
    </row>
    <row r="76" spans="2:3">
      <c r="B76" t="s">
        <v>535</v>
      </c>
      <c r="C76" t="s">
        <v>536</v>
      </c>
    </row>
    <row r="77" spans="2:3">
      <c r="B77" t="s">
        <v>537</v>
      </c>
      <c r="C77" t="s">
        <v>537</v>
      </c>
    </row>
    <row r="78" spans="2:3">
      <c r="B78" t="s">
        <v>538</v>
      </c>
      <c r="C78" t="s">
        <v>539</v>
      </c>
    </row>
    <row r="79" spans="2:3">
      <c r="B79" t="s">
        <v>540</v>
      </c>
      <c r="C79" t="s">
        <v>541</v>
      </c>
    </row>
    <row r="80" spans="2:3">
      <c r="B80" t="s">
        <v>542</v>
      </c>
      <c r="C80" t="s">
        <v>543</v>
      </c>
    </row>
    <row r="81" spans="1:5">
      <c r="B81" t="s">
        <v>544</v>
      </c>
      <c r="C81" t="s">
        <v>545</v>
      </c>
    </row>
    <row r="82" spans="1:5">
      <c r="B82" t="s">
        <v>546</v>
      </c>
      <c r="C82" t="s">
        <v>547</v>
      </c>
    </row>
    <row r="83" spans="1:5">
      <c r="B83" t="s">
        <v>548</v>
      </c>
      <c r="C83" t="s">
        <v>549</v>
      </c>
    </row>
    <row r="84" spans="1:5">
      <c r="B84" t="s">
        <v>550</v>
      </c>
      <c r="C84" t="s">
        <v>551</v>
      </c>
    </row>
    <row r="85" spans="1:5">
      <c r="B85" t="s">
        <v>552</v>
      </c>
      <c r="C85" t="s">
        <v>553</v>
      </c>
    </row>
    <row r="86" spans="1:5">
      <c r="B86" t="s">
        <v>554</v>
      </c>
      <c r="C86" t="s">
        <v>555</v>
      </c>
    </row>
    <row r="87" spans="1:5">
      <c r="B87" t="s">
        <v>556</v>
      </c>
      <c r="C87" t="s">
        <v>557</v>
      </c>
    </row>
    <row r="88" spans="1:5">
      <c r="B88" t="s">
        <v>558</v>
      </c>
      <c r="C88" t="s">
        <v>559</v>
      </c>
    </row>
    <row r="90" spans="1:5">
      <c r="A90" t="s">
        <v>560</v>
      </c>
      <c r="B90" t="s">
        <v>1</v>
      </c>
      <c r="C90" t="s">
        <v>2</v>
      </c>
      <c r="D90" t="s">
        <v>3</v>
      </c>
      <c r="E90" t="s">
        <v>4</v>
      </c>
    </row>
    <row r="91" spans="1:5">
      <c r="A91">
        <v>1</v>
      </c>
      <c r="B91" t="s">
        <v>5</v>
      </c>
      <c r="C91" t="s">
        <v>6</v>
      </c>
      <c r="D91" t="s">
        <v>7</v>
      </c>
      <c r="E91" t="s">
        <v>8</v>
      </c>
    </row>
    <row r="92" spans="1:5">
      <c r="A92">
        <v>1</v>
      </c>
      <c r="B92" t="s">
        <v>9</v>
      </c>
      <c r="C92" t="s">
        <v>10</v>
      </c>
      <c r="D92" t="s">
        <v>11</v>
      </c>
      <c r="E92" t="s">
        <v>12</v>
      </c>
    </row>
    <row r="93" spans="1:5">
      <c r="A93">
        <v>1</v>
      </c>
      <c r="B93" t="s">
        <v>13</v>
      </c>
      <c r="C93" t="s">
        <v>14</v>
      </c>
      <c r="D93" t="s">
        <v>15</v>
      </c>
      <c r="E93" t="s">
        <v>16</v>
      </c>
    </row>
    <row r="94" spans="1:5">
      <c r="A94">
        <v>1</v>
      </c>
      <c r="B94" t="s">
        <v>17</v>
      </c>
      <c r="C94" t="s">
        <v>17</v>
      </c>
      <c r="D94" t="s">
        <v>18</v>
      </c>
      <c r="E94" t="s">
        <v>19</v>
      </c>
    </row>
    <row r="95" spans="1:5">
      <c r="A95">
        <v>1</v>
      </c>
      <c r="B95" t="s">
        <v>20</v>
      </c>
      <c r="C95" t="s">
        <v>20</v>
      </c>
      <c r="D95" t="s">
        <v>21</v>
      </c>
      <c r="E95" t="s">
        <v>22</v>
      </c>
    </row>
    <row r="96" spans="1:5">
      <c r="A96">
        <v>1</v>
      </c>
      <c r="B96" t="s">
        <v>23</v>
      </c>
      <c r="C96" t="s">
        <v>24</v>
      </c>
      <c r="D96" t="s">
        <v>25</v>
      </c>
      <c r="E96" t="s">
        <v>26</v>
      </c>
    </row>
    <row r="97" spans="1:5">
      <c r="A97">
        <v>1</v>
      </c>
      <c r="B97" t="s">
        <v>561</v>
      </c>
      <c r="C97" t="s">
        <v>562</v>
      </c>
      <c r="D97" t="s">
        <v>563</v>
      </c>
      <c r="E97" t="s">
        <v>564</v>
      </c>
    </row>
    <row r="98" spans="1:5">
      <c r="A98">
        <v>1</v>
      </c>
      <c r="B98" t="s">
        <v>27</v>
      </c>
      <c r="C98" t="s">
        <v>28</v>
      </c>
      <c r="D98" t="s">
        <v>29</v>
      </c>
      <c r="E98" t="s">
        <v>30</v>
      </c>
    </row>
    <row r="99" spans="1:5">
      <c r="A99">
        <v>1</v>
      </c>
      <c r="B99" t="s">
        <v>31</v>
      </c>
      <c r="C99" t="s">
        <v>32</v>
      </c>
      <c r="D99" t="s">
        <v>33</v>
      </c>
      <c r="E99" t="s">
        <v>34</v>
      </c>
    </row>
    <row r="100" spans="1:5">
      <c r="A100">
        <v>1</v>
      </c>
      <c r="B100" t="s">
        <v>35</v>
      </c>
      <c r="C100" t="s">
        <v>36</v>
      </c>
      <c r="D100" t="s">
        <v>37</v>
      </c>
      <c r="E100" t="s">
        <v>38</v>
      </c>
    </row>
    <row r="101" spans="1:5">
      <c r="A101">
        <v>1</v>
      </c>
      <c r="B101" t="s">
        <v>39</v>
      </c>
      <c r="C101" t="s">
        <v>40</v>
      </c>
      <c r="D101" t="s">
        <v>41</v>
      </c>
      <c r="E101" t="s">
        <v>42</v>
      </c>
    </row>
    <row r="102" spans="1:5">
      <c r="A102">
        <v>1</v>
      </c>
      <c r="B102" t="s">
        <v>43</v>
      </c>
      <c r="C102" t="s">
        <v>44</v>
      </c>
      <c r="D102" t="s">
        <v>45</v>
      </c>
      <c r="E102" t="s">
        <v>46</v>
      </c>
    </row>
    <row r="103" spans="1:5">
      <c r="A103">
        <v>1</v>
      </c>
      <c r="B103" t="s">
        <v>47</v>
      </c>
      <c r="C103" t="s">
        <v>48</v>
      </c>
      <c r="D103" t="s">
        <v>49</v>
      </c>
      <c r="E103" t="s">
        <v>50</v>
      </c>
    </row>
    <row r="104" spans="1:5">
      <c r="A104">
        <v>1</v>
      </c>
      <c r="B104" t="s">
        <v>51</v>
      </c>
      <c r="C104" t="s">
        <v>52</v>
      </c>
      <c r="D104" t="s">
        <v>53</v>
      </c>
      <c r="E104" t="s">
        <v>54</v>
      </c>
    </row>
    <row r="105" spans="1:5">
      <c r="A105">
        <v>1</v>
      </c>
      <c r="B105" t="s">
        <v>55</v>
      </c>
      <c r="C105" t="s">
        <v>56</v>
      </c>
      <c r="D105" t="s">
        <v>57</v>
      </c>
      <c r="E105" t="s">
        <v>58</v>
      </c>
    </row>
    <row r="106" spans="1:5">
      <c r="A106">
        <v>1</v>
      </c>
      <c r="B106" t="s">
        <v>59</v>
      </c>
      <c r="C106" t="s">
        <v>60</v>
      </c>
      <c r="D106" t="s">
        <v>61</v>
      </c>
      <c r="E106" t="s">
        <v>62</v>
      </c>
    </row>
    <row r="107" spans="1:5">
      <c r="A107">
        <v>1</v>
      </c>
      <c r="B107" t="s">
        <v>63</v>
      </c>
      <c r="C107" t="s">
        <v>64</v>
      </c>
      <c r="D107" t="s">
        <v>65</v>
      </c>
      <c r="E107" t="s">
        <v>66</v>
      </c>
    </row>
    <row r="108" spans="1:5">
      <c r="A108">
        <v>2</v>
      </c>
      <c r="B108" t="s">
        <v>67</v>
      </c>
      <c r="C108" t="s">
        <v>68</v>
      </c>
      <c r="D108" t="s">
        <v>565</v>
      </c>
      <c r="E108" t="s">
        <v>566</v>
      </c>
    </row>
    <row r="109" spans="1:5">
      <c r="A109">
        <v>2</v>
      </c>
      <c r="B109" t="s">
        <v>71</v>
      </c>
      <c r="C109" t="s">
        <v>72</v>
      </c>
      <c r="D109" t="s">
        <v>73</v>
      </c>
      <c r="E109" t="s">
        <v>74</v>
      </c>
    </row>
    <row r="110" spans="1:5">
      <c r="A110">
        <v>3</v>
      </c>
      <c r="B110" t="s">
        <v>75</v>
      </c>
      <c r="C110" t="s">
        <v>75</v>
      </c>
      <c r="D110" t="s">
        <v>76</v>
      </c>
      <c r="E110" t="s">
        <v>77</v>
      </c>
    </row>
    <row r="111" spans="1:5">
      <c r="A111">
        <v>3</v>
      </c>
      <c r="B111" t="s">
        <v>78</v>
      </c>
      <c r="C111" t="s">
        <v>78</v>
      </c>
      <c r="D111" t="s">
        <v>79</v>
      </c>
      <c r="E111" t="s">
        <v>80</v>
      </c>
    </row>
    <row r="112" spans="1:5">
      <c r="A112">
        <v>3</v>
      </c>
      <c r="B112" t="s">
        <v>81</v>
      </c>
      <c r="C112" t="s">
        <v>81</v>
      </c>
      <c r="D112" t="s">
        <v>82</v>
      </c>
      <c r="E112" t="s">
        <v>83</v>
      </c>
    </row>
    <row r="113" spans="1:5">
      <c r="A113">
        <v>3</v>
      </c>
      <c r="B113" t="s">
        <v>84</v>
      </c>
      <c r="C113" t="s">
        <v>84</v>
      </c>
      <c r="D113" t="s">
        <v>85</v>
      </c>
      <c r="E113" t="s">
        <v>86</v>
      </c>
    </row>
    <row r="114" spans="1:5">
      <c r="A114">
        <v>3</v>
      </c>
      <c r="B114" t="s">
        <v>87</v>
      </c>
      <c r="C114" t="s">
        <v>88</v>
      </c>
      <c r="D114" t="s">
        <v>89</v>
      </c>
      <c r="E114" t="s">
        <v>90</v>
      </c>
    </row>
    <row r="115" spans="1:5">
      <c r="A115">
        <v>3</v>
      </c>
      <c r="B115" t="s">
        <v>91</v>
      </c>
      <c r="C115" t="s">
        <v>92</v>
      </c>
      <c r="D115" t="s">
        <v>93</v>
      </c>
      <c r="E115" t="s">
        <v>94</v>
      </c>
    </row>
    <row r="116" spans="1:5">
      <c r="A116">
        <v>3</v>
      </c>
      <c r="B116" t="s">
        <v>95</v>
      </c>
      <c r="C116" t="s">
        <v>567</v>
      </c>
      <c r="D116" t="s">
        <v>96</v>
      </c>
      <c r="E116" t="s">
        <v>97</v>
      </c>
    </row>
    <row r="117" spans="1:5">
      <c r="A117">
        <v>3</v>
      </c>
      <c r="B117" t="s">
        <v>98</v>
      </c>
      <c r="C117" t="s">
        <v>568</v>
      </c>
      <c r="D117" t="s">
        <v>99</v>
      </c>
      <c r="E117" t="s">
        <v>100</v>
      </c>
    </row>
    <row r="118" spans="1:5">
      <c r="A118">
        <v>3</v>
      </c>
      <c r="B118" t="s">
        <v>101</v>
      </c>
      <c r="C118" t="s">
        <v>102</v>
      </c>
      <c r="D118" t="s">
        <v>103</v>
      </c>
      <c r="E118" t="s">
        <v>104</v>
      </c>
    </row>
    <row r="119" spans="1:5">
      <c r="A119">
        <v>3</v>
      </c>
      <c r="B119" t="s">
        <v>105</v>
      </c>
      <c r="C119" t="s">
        <v>106</v>
      </c>
      <c r="D119" t="s">
        <v>107</v>
      </c>
      <c r="E119" t="s">
        <v>108</v>
      </c>
    </row>
    <row r="120" spans="1:5">
      <c r="A120">
        <v>3</v>
      </c>
      <c r="B120" t="s">
        <v>109</v>
      </c>
      <c r="C120" t="s">
        <v>110</v>
      </c>
      <c r="D120" t="s">
        <v>111</v>
      </c>
      <c r="E120" t="s">
        <v>112</v>
      </c>
    </row>
    <row r="121" spans="1:5">
      <c r="A121">
        <v>4</v>
      </c>
      <c r="B121" t="s">
        <v>113</v>
      </c>
      <c r="C121" t="s">
        <v>113</v>
      </c>
      <c r="D121" t="s">
        <v>114</v>
      </c>
      <c r="E121" t="s">
        <v>115</v>
      </c>
    </row>
    <row r="122" spans="1:5">
      <c r="A122">
        <v>4</v>
      </c>
      <c r="B122" t="s">
        <v>116</v>
      </c>
      <c r="C122" t="s">
        <v>117</v>
      </c>
      <c r="D122" t="s">
        <v>118</v>
      </c>
      <c r="E122" t="s">
        <v>119</v>
      </c>
    </row>
    <row r="123" spans="1:5">
      <c r="A123">
        <v>4</v>
      </c>
      <c r="B123" t="s">
        <v>120</v>
      </c>
      <c r="C123" t="s">
        <v>121</v>
      </c>
      <c r="D123" t="s">
        <v>122</v>
      </c>
      <c r="E123" t="s">
        <v>123</v>
      </c>
    </row>
    <row r="124" spans="1:5">
      <c r="A124">
        <v>4</v>
      </c>
      <c r="B124" t="s">
        <v>124</v>
      </c>
      <c r="C124" t="s">
        <v>125</v>
      </c>
      <c r="D124" t="s">
        <v>126</v>
      </c>
      <c r="E124" t="s">
        <v>127</v>
      </c>
    </row>
    <row r="125" spans="1:5">
      <c r="A125">
        <v>4</v>
      </c>
      <c r="B125" t="s">
        <v>128</v>
      </c>
      <c r="C125" t="s">
        <v>128</v>
      </c>
      <c r="D125" t="s">
        <v>129</v>
      </c>
      <c r="E125" t="s">
        <v>130</v>
      </c>
    </row>
    <row r="126" spans="1:5">
      <c r="A126">
        <v>5</v>
      </c>
      <c r="B126" t="s">
        <v>131</v>
      </c>
      <c r="C126" t="s">
        <v>132</v>
      </c>
      <c r="D126" t="s">
        <v>133</v>
      </c>
      <c r="E126" t="s">
        <v>134</v>
      </c>
    </row>
    <row r="127" spans="1:5">
      <c r="A127">
        <v>5</v>
      </c>
      <c r="B127" t="s">
        <v>135</v>
      </c>
      <c r="C127" t="s">
        <v>136</v>
      </c>
      <c r="D127" t="s">
        <v>137</v>
      </c>
      <c r="E127" t="s">
        <v>138</v>
      </c>
    </row>
    <row r="128" spans="1:5">
      <c r="A128">
        <v>6</v>
      </c>
      <c r="B128" t="s">
        <v>139</v>
      </c>
      <c r="C128" t="s">
        <v>140</v>
      </c>
      <c r="D128" t="s">
        <v>141</v>
      </c>
      <c r="E128" t="s">
        <v>142</v>
      </c>
    </row>
    <row r="129" spans="1:5">
      <c r="A129">
        <v>6</v>
      </c>
      <c r="B129" t="s">
        <v>143</v>
      </c>
      <c r="C129" t="s">
        <v>144</v>
      </c>
      <c r="D129" t="s">
        <v>145</v>
      </c>
      <c r="E129" t="s">
        <v>146</v>
      </c>
    </row>
    <row r="130" spans="1:5">
      <c r="B130" t="s">
        <v>147</v>
      </c>
    </row>
    <row r="132" spans="1:5">
      <c r="B132" t="s">
        <v>569</v>
      </c>
      <c r="C132" t="s">
        <v>570</v>
      </c>
    </row>
    <row r="133" spans="1:5">
      <c r="B133" t="s">
        <v>571</v>
      </c>
      <c r="C133" t="s">
        <v>572</v>
      </c>
    </row>
    <row r="134" spans="1:5">
      <c r="B134" t="s">
        <v>573</v>
      </c>
      <c r="C134" t="s">
        <v>574</v>
      </c>
    </row>
    <row r="135" spans="1:5">
      <c r="B135" t="s">
        <v>575</v>
      </c>
      <c r="C135" t="s">
        <v>576</v>
      </c>
    </row>
    <row r="136" spans="1:5">
      <c r="B136" t="s">
        <v>192</v>
      </c>
      <c r="C136" t="s">
        <v>193</v>
      </c>
    </row>
    <row r="138" spans="1:5">
      <c r="B138" t="s">
        <v>577</v>
      </c>
      <c r="C138" t="s">
        <v>578</v>
      </c>
    </row>
    <row r="140" spans="1:5">
      <c r="B140" t="s">
        <v>579</v>
      </c>
      <c r="C140" t="s">
        <v>580</v>
      </c>
    </row>
    <row r="141" spans="1:5">
      <c r="B141" t="s">
        <v>581</v>
      </c>
      <c r="C141" t="s">
        <v>582</v>
      </c>
    </row>
    <row r="144" spans="1:5">
      <c r="B144" t="s">
        <v>583</v>
      </c>
      <c r="C144" t="s">
        <v>584</v>
      </c>
    </row>
    <row r="146" spans="2:3">
      <c r="B146" t="s">
        <v>585</v>
      </c>
      <c r="C146" t="s">
        <v>586</v>
      </c>
    </row>
    <row r="147" spans="2:3">
      <c r="B147" t="s">
        <v>587</v>
      </c>
      <c r="C147" t="s">
        <v>588</v>
      </c>
    </row>
    <row r="148" spans="2:3">
      <c r="B148" t="s">
        <v>589</v>
      </c>
      <c r="C148" t="s">
        <v>590</v>
      </c>
    </row>
    <row r="149" spans="2:3">
      <c r="B149" t="s">
        <v>591</v>
      </c>
      <c r="C149" t="s">
        <v>592</v>
      </c>
    </row>
    <row r="150" spans="2:3">
      <c r="B150" t="s">
        <v>593</v>
      </c>
      <c r="C150" t="s">
        <v>594</v>
      </c>
    </row>
    <row r="151" spans="2:3">
      <c r="B151" t="s">
        <v>595</v>
      </c>
      <c r="C151" t="s">
        <v>596</v>
      </c>
    </row>
    <row r="152" spans="2:3">
      <c r="B152" t="s">
        <v>597</v>
      </c>
      <c r="C152" t="s">
        <v>598</v>
      </c>
    </row>
    <row r="153" spans="2:3">
      <c r="B153" t="s">
        <v>599</v>
      </c>
      <c r="C153" t="s">
        <v>600</v>
      </c>
    </row>
    <row r="154" spans="2:3">
      <c r="B154" t="s">
        <v>601</v>
      </c>
      <c r="C154" t="s">
        <v>602</v>
      </c>
    </row>
    <row r="155" spans="2:3">
      <c r="B155" t="s">
        <v>603</v>
      </c>
      <c r="C155" t="s">
        <v>604</v>
      </c>
    </row>
    <row r="156" spans="2:3">
      <c r="B156" t="s">
        <v>605</v>
      </c>
      <c r="C156" t="s">
        <v>606</v>
      </c>
    </row>
    <row r="160" spans="2:3">
      <c r="B160" t="s">
        <v>607</v>
      </c>
      <c r="C160" t="s">
        <v>608</v>
      </c>
    </row>
    <row r="161" spans="2:3">
      <c r="B161" t="s">
        <v>609</v>
      </c>
      <c r="C161" t="s">
        <v>610</v>
      </c>
    </row>
    <row r="162" spans="2:3">
      <c r="B162" t="s">
        <v>611</v>
      </c>
      <c r="C162" t="s">
        <v>612</v>
      </c>
    </row>
    <row r="163" spans="2:3">
      <c r="B163" t="s">
        <v>613</v>
      </c>
      <c r="C163" t="s">
        <v>614</v>
      </c>
    </row>
    <row r="165" spans="2:3">
      <c r="B165" t="s">
        <v>577</v>
      </c>
      <c r="C165" t="s">
        <v>615</v>
      </c>
    </row>
    <row r="167" spans="2:3">
      <c r="B167" t="s">
        <v>616</v>
      </c>
      <c r="C167" t="s">
        <v>617</v>
      </c>
    </row>
    <row r="168" spans="2:3">
      <c r="B168" t="s">
        <v>618</v>
      </c>
      <c r="C168" t="s">
        <v>619</v>
      </c>
    </row>
    <row r="169" spans="2:3">
      <c r="B169" t="s">
        <v>620</v>
      </c>
      <c r="C169" t="s">
        <v>621</v>
      </c>
    </row>
    <row r="170" spans="2:3">
      <c r="B170" t="s">
        <v>622</v>
      </c>
      <c r="C170" t="s">
        <v>623</v>
      </c>
    </row>
    <row r="171" spans="2:3">
      <c r="B171" t="s">
        <v>624</v>
      </c>
      <c r="C171" t="s">
        <v>625</v>
      </c>
    </row>
    <row r="172" spans="2:3">
      <c r="B172" t="s">
        <v>626</v>
      </c>
      <c r="C172" t="s">
        <v>627</v>
      </c>
    </row>
    <row r="173" spans="2:3">
      <c r="B173" t="s">
        <v>628</v>
      </c>
      <c r="C173" t="s">
        <v>629</v>
      </c>
    </row>
    <row r="174" spans="2:3">
      <c r="B174" t="s">
        <v>630</v>
      </c>
      <c r="C174" t="s">
        <v>630</v>
      </c>
    </row>
    <row r="175" spans="2:3">
      <c r="B175" t="s">
        <v>631</v>
      </c>
      <c r="C175" t="s">
        <v>632</v>
      </c>
    </row>
    <row r="176" spans="2:3">
      <c r="B176" t="s">
        <v>633</v>
      </c>
      <c r="C176" t="s">
        <v>634</v>
      </c>
    </row>
    <row r="177" spans="2:3">
      <c r="B177" t="s">
        <v>635</v>
      </c>
      <c r="C177" t="s">
        <v>636</v>
      </c>
    </row>
    <row r="179" spans="2:3">
      <c r="B179" t="s">
        <v>637</v>
      </c>
      <c r="C179" t="s">
        <v>638</v>
      </c>
    </row>
    <row r="180" spans="2:3">
      <c r="B180" t="s">
        <v>639</v>
      </c>
      <c r="C180" t="s">
        <v>640</v>
      </c>
    </row>
    <row r="181" spans="2:3">
      <c r="B181" t="s">
        <v>641</v>
      </c>
      <c r="C181" t="s">
        <v>642</v>
      </c>
    </row>
    <row r="182" spans="2:3">
      <c r="B182" t="s">
        <v>643</v>
      </c>
      <c r="C182" t="s">
        <v>644</v>
      </c>
    </row>
    <row r="183" spans="2:3">
      <c r="B183" t="s">
        <v>645</v>
      </c>
      <c r="C183" t="s">
        <v>646</v>
      </c>
    </row>
    <row r="184" spans="2:3">
      <c r="B184" t="s">
        <v>647</v>
      </c>
      <c r="C184" t="s">
        <v>648</v>
      </c>
    </row>
    <row r="185" spans="2:3">
      <c r="B185" t="s">
        <v>649</v>
      </c>
      <c r="C185" t="s">
        <v>650</v>
      </c>
    </row>
    <row r="186" spans="2:3">
      <c r="B186" t="s">
        <v>651</v>
      </c>
      <c r="C186" t="s">
        <v>652</v>
      </c>
    </row>
    <row r="187" spans="2:3">
      <c r="B187" t="s">
        <v>653</v>
      </c>
    </row>
    <row r="188" spans="2:3">
      <c r="B188" t="s">
        <v>654</v>
      </c>
      <c r="C188" t="s">
        <v>655</v>
      </c>
    </row>
    <row r="189" spans="2:3">
      <c r="B189" t="s">
        <v>656</v>
      </c>
      <c r="C189" t="s">
        <v>657</v>
      </c>
    </row>
    <row r="190" spans="2:3">
      <c r="B190" t="s">
        <v>658</v>
      </c>
      <c r="C190" t="s">
        <v>659</v>
      </c>
    </row>
    <row r="191" spans="2:3">
      <c r="B191" t="s">
        <v>660</v>
      </c>
      <c r="C191" t="s">
        <v>661</v>
      </c>
    </row>
    <row r="192" spans="2:3">
      <c r="B192" t="s">
        <v>662</v>
      </c>
      <c r="C192" t="s">
        <v>663</v>
      </c>
    </row>
    <row r="193" spans="2:3">
      <c r="B193" t="s">
        <v>664</v>
      </c>
      <c r="C193" t="s">
        <v>665</v>
      </c>
    </row>
    <row r="194" spans="2:3">
      <c r="B194" t="s">
        <v>666</v>
      </c>
      <c r="C194" t="s">
        <v>667</v>
      </c>
    </row>
    <row r="195" spans="2:3">
      <c r="B195" t="s">
        <v>668</v>
      </c>
      <c r="C195" t="s">
        <v>669</v>
      </c>
    </row>
    <row r="196" spans="2:3">
      <c r="B196" t="s">
        <v>670</v>
      </c>
      <c r="C196" t="s">
        <v>671</v>
      </c>
    </row>
    <row r="197" spans="2:3">
      <c r="B197" t="s">
        <v>672</v>
      </c>
      <c r="C197" t="s">
        <v>673</v>
      </c>
    </row>
    <row r="198" spans="2:3">
      <c r="B198" t="s">
        <v>674</v>
      </c>
      <c r="C198" t="s">
        <v>675</v>
      </c>
    </row>
    <row r="199" spans="2:3">
      <c r="B199" t="s">
        <v>676</v>
      </c>
      <c r="C199" t="s">
        <v>677</v>
      </c>
    </row>
    <row r="200" spans="2:3">
      <c r="B200" t="s">
        <v>678</v>
      </c>
      <c r="C200" t="s">
        <v>679</v>
      </c>
    </row>
    <row r="202" spans="2:3">
      <c r="B202" t="s">
        <v>680</v>
      </c>
      <c r="C202" t="s">
        <v>681</v>
      </c>
    </row>
    <row r="203" spans="2:3">
      <c r="B203" t="s">
        <v>372</v>
      </c>
      <c r="C203" t="s">
        <v>682</v>
      </c>
    </row>
    <row r="205" spans="2:3">
      <c r="B205" t="s">
        <v>683</v>
      </c>
      <c r="C205" t="s">
        <v>684</v>
      </c>
    </row>
    <row r="206" spans="2:3">
      <c r="B206" t="s">
        <v>685</v>
      </c>
      <c r="C206" t="s">
        <v>686</v>
      </c>
    </row>
    <row r="207" spans="2:3">
      <c r="B207" t="s">
        <v>687</v>
      </c>
      <c r="C207" t="s">
        <v>688</v>
      </c>
    </row>
    <row r="208" spans="2:3">
      <c r="B208" t="s">
        <v>1078</v>
      </c>
      <c r="C208" t="s">
        <v>689</v>
      </c>
    </row>
    <row r="209" spans="2:3">
      <c r="B209" t="s">
        <v>690</v>
      </c>
      <c r="C209" t="s">
        <v>691</v>
      </c>
    </row>
    <row r="210" spans="2:3">
      <c r="B210" t="s">
        <v>692</v>
      </c>
      <c r="C210" t="s">
        <v>693</v>
      </c>
    </row>
    <row r="211" spans="2:3">
      <c r="B211" t="s">
        <v>694</v>
      </c>
      <c r="C211" t="s">
        <v>695</v>
      </c>
    </row>
    <row r="213" spans="2:3">
      <c r="B213" t="s">
        <v>696</v>
      </c>
      <c r="C213" t="s">
        <v>697</v>
      </c>
    </row>
    <row r="214" spans="2:3">
      <c r="B214" t="s">
        <v>698</v>
      </c>
      <c r="C214" t="s">
        <v>699</v>
      </c>
    </row>
    <row r="215" spans="2:3">
      <c r="B215" t="s">
        <v>700</v>
      </c>
      <c r="C215" t="s">
        <v>701</v>
      </c>
    </row>
    <row r="217" spans="2:3">
      <c r="B217" t="s">
        <v>702</v>
      </c>
      <c r="C217" t="s">
        <v>703</v>
      </c>
    </row>
    <row r="218" spans="2:3">
      <c r="B218" t="s">
        <v>704</v>
      </c>
      <c r="C218" t="s">
        <v>705</v>
      </c>
    </row>
    <row r="219" spans="2:3">
      <c r="B219" t="s">
        <v>706</v>
      </c>
      <c r="C219" t="s">
        <v>707</v>
      </c>
    </row>
    <row r="220" spans="2:3">
      <c r="B220" t="s">
        <v>708</v>
      </c>
      <c r="C220" t="s">
        <v>709</v>
      </c>
    </row>
    <row r="221" spans="2:3">
      <c r="B221" t="s">
        <v>710</v>
      </c>
      <c r="C221" t="s">
        <v>711</v>
      </c>
    </row>
    <row r="222" spans="2:3">
      <c r="B222" t="s">
        <v>712</v>
      </c>
      <c r="C222" t="s">
        <v>713</v>
      </c>
    </row>
    <row r="223" spans="2:3">
      <c r="B223" t="s">
        <v>714</v>
      </c>
      <c r="C223" t="s">
        <v>715</v>
      </c>
    </row>
    <row r="225" spans="2:3">
      <c r="B225" t="s">
        <v>716</v>
      </c>
      <c r="C225" t="s">
        <v>717</v>
      </c>
    </row>
    <row r="226" spans="2:3">
      <c r="B226" t="s">
        <v>718</v>
      </c>
      <c r="C226" t="s">
        <v>719</v>
      </c>
    </row>
    <row r="227" spans="2:3">
      <c r="B227" t="s">
        <v>720</v>
      </c>
      <c r="C227" t="s">
        <v>721</v>
      </c>
    </row>
    <row r="228" spans="2:3">
      <c r="B228" t="s">
        <v>722</v>
      </c>
      <c r="C228" t="s">
        <v>723</v>
      </c>
    </row>
    <row r="230" spans="2:3">
      <c r="B230" t="s">
        <v>724</v>
      </c>
      <c r="C230" t="s">
        <v>725</v>
      </c>
    </row>
    <row r="231" spans="2:3">
      <c r="B231" t="s">
        <v>726</v>
      </c>
      <c r="C231" t="s">
        <v>727</v>
      </c>
    </row>
    <row r="232" spans="2:3">
      <c r="B232" t="s">
        <v>728</v>
      </c>
      <c r="C232" t="s">
        <v>729</v>
      </c>
    </row>
    <row r="233" spans="2:3">
      <c r="B233" t="s">
        <v>687</v>
      </c>
      <c r="C233" t="s">
        <v>688</v>
      </c>
    </row>
    <row r="235" spans="2:3">
      <c r="B235" t="s">
        <v>1053</v>
      </c>
      <c r="C235" t="s">
        <v>1056</v>
      </c>
    </row>
    <row r="236" spans="2:3">
      <c r="B236" t="s">
        <v>1054</v>
      </c>
      <c r="C236" t="s">
        <v>1057</v>
      </c>
    </row>
    <row r="237" spans="2:3">
      <c r="B237" t="s">
        <v>1055</v>
      </c>
      <c r="C237" t="s">
        <v>1058</v>
      </c>
    </row>
    <row r="238" spans="2:3" ht="16.8">
      <c r="B238" t="s">
        <v>1059</v>
      </c>
      <c r="C238" s="221" t="s">
        <v>1062</v>
      </c>
    </row>
    <row r="239" spans="2:3" ht="23.4">
      <c r="B239" t="s">
        <v>1060</v>
      </c>
      <c r="C239" s="220" t="s">
        <v>1063</v>
      </c>
    </row>
    <row r="240" spans="2:3" ht="168">
      <c r="B240" s="174" t="s">
        <v>1061</v>
      </c>
      <c r="C240" s="222" t="s">
        <v>1064</v>
      </c>
    </row>
  </sheetData>
  <dataValidations count="1">
    <dataValidation type="list" allowBlank="1" showInputMessage="1" showErrorMessage="1" sqref="C4" xr:uid="{2DA79F12-625F-4C2A-861B-F60B9D7B8F15}">
      <formula1>"1,2"</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7105" r:id="rId4" name="Option Button 1">
              <controlPr defaultSize="0" print="0" autoFill="0" autoLine="0" autoPict="0">
                <anchor moveWithCells="1">
                  <from>
                    <xdr:col>1</xdr:col>
                    <xdr:colOff>533400</xdr:colOff>
                    <xdr:row>0</xdr:row>
                    <xdr:rowOff>160020</xdr:rowOff>
                  </from>
                  <to>
                    <xdr:col>1</xdr:col>
                    <xdr:colOff>1638300</xdr:colOff>
                    <xdr:row>3</xdr:row>
                    <xdr:rowOff>144780</xdr:rowOff>
                  </to>
                </anchor>
              </controlPr>
            </control>
          </mc:Choice>
        </mc:AlternateContent>
        <mc:AlternateContent xmlns:mc="http://schemas.openxmlformats.org/markup-compatibility/2006">
          <mc:Choice Requires="x14">
            <control shapeId="47106" r:id="rId5" name="Option Button 2">
              <controlPr defaultSize="0" autoFill="0" autoLine="0" autoPict="0">
                <anchor moveWithCells="1">
                  <from>
                    <xdr:col>1</xdr:col>
                    <xdr:colOff>533400</xdr:colOff>
                    <xdr:row>3</xdr:row>
                    <xdr:rowOff>114300</xdr:rowOff>
                  </from>
                  <to>
                    <xdr:col>1</xdr:col>
                    <xdr:colOff>1333500</xdr:colOff>
                    <xdr:row>5</xdr:row>
                    <xdr:rowOff>121920</xdr:rowOff>
                  </to>
                </anchor>
              </controlPr>
            </control>
          </mc:Choice>
        </mc:AlternateContent>
      </controls>
    </mc:Choice>
  </mc:AlternateContent>
  <tableParts count="2">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6CE5A-5F5D-4B2F-B7FB-2F5C262368EF}">
  <sheetPr codeName="Sheet20"/>
  <dimension ref="A1:R98"/>
  <sheetViews>
    <sheetView workbookViewId="0">
      <selection activeCell="B39" sqref="B39"/>
    </sheetView>
  </sheetViews>
  <sheetFormatPr defaultColWidth="11.44140625" defaultRowHeight="14.4" outlineLevelRow="1"/>
  <cols>
    <col min="1" max="1" width="10.88671875" customWidth="1"/>
    <col min="2" max="2" width="20.5546875" customWidth="1"/>
    <col min="3" max="3" width="20.33203125" bestFit="1" customWidth="1"/>
    <col min="4" max="4" width="23.6640625" customWidth="1"/>
    <col min="5" max="5" width="16.88671875" bestFit="1" customWidth="1"/>
    <col min="6" max="6" width="18" customWidth="1"/>
    <col min="7" max="7" width="19.6640625" customWidth="1"/>
    <col min="8" max="8" width="22.44140625" customWidth="1"/>
    <col min="11" max="11" width="10" bestFit="1" customWidth="1"/>
    <col min="13" max="13" width="19.44140625" bestFit="1" customWidth="1"/>
  </cols>
  <sheetData>
    <row r="1" spans="1:15" s="204" customFormat="1" ht="68.25" customHeight="1">
      <c r="A1" s="203"/>
      <c r="C1" s="205" t="s">
        <v>390</v>
      </c>
    </row>
    <row r="2" spans="1:15" s="14" customFormat="1" ht="33.6">
      <c r="A2" s="90"/>
      <c r="B2" s="90" t="s">
        <v>730</v>
      </c>
      <c r="C2" s="90"/>
      <c r="D2" s="90"/>
      <c r="E2" s="90"/>
      <c r="F2" s="90"/>
      <c r="G2" s="90"/>
      <c r="H2" s="90"/>
    </row>
    <row r="3" spans="1:15" ht="18">
      <c r="B3" s="25" t="str">
        <f ca="1">_xlfn.FORMULATEXT(B4)</f>
        <v>={1;2;3;4;5}</v>
      </c>
      <c r="C3" s="25" t="str">
        <f ca="1">_xlfn.FORMULATEXT(C4)</f>
        <v>={"John";"Peter";"Paul"}</v>
      </c>
      <c r="D3" s="5"/>
      <c r="E3" s="5"/>
      <c r="F3" s="25" t="str">
        <f ca="1">_xlfn.FORMULATEXT(F4)</f>
        <v>={"john"\"Peter"\"Paul"}</v>
      </c>
      <c r="G3" s="5"/>
      <c r="H3" s="5"/>
    </row>
    <row r="4" spans="1:15" ht="23.4">
      <c r="B4" s="96" cm="1">
        <f t="array" ref="B4:B8">{1;2;3;4;5}</f>
        <v>1</v>
      </c>
      <c r="C4" s="96" t="str" cm="1">
        <f t="array" ref="C4:C6">{"John";"Peter";"Paul"}</f>
        <v>John</v>
      </c>
      <c r="D4" s="5"/>
      <c r="E4" s="5"/>
      <c r="F4" s="96" t="str" cm="1">
        <f t="array" ref="F4:H4">{"john","Peter","Paul"}</f>
        <v>john</v>
      </c>
      <c r="G4" s="96" t="str">
        <v>Peter</v>
      </c>
      <c r="H4" s="96" t="str">
        <v>Paul</v>
      </c>
      <c r="J4" s="8" t="s">
        <v>731</v>
      </c>
    </row>
    <row r="5" spans="1:15" ht="23.4">
      <c r="B5" s="96">
        <v>2</v>
      </c>
      <c r="C5" s="96" t="str">
        <v>Peter</v>
      </c>
      <c r="D5" s="5"/>
      <c r="E5" s="5"/>
      <c r="F5" s="5"/>
      <c r="G5" s="5"/>
      <c r="H5" s="5"/>
    </row>
    <row r="6" spans="1:15" ht="23.4">
      <c r="B6" s="96">
        <v>3</v>
      </c>
      <c r="C6" s="96" t="str">
        <v>Paul</v>
      </c>
      <c r="D6" s="5"/>
      <c r="E6" s="5"/>
      <c r="F6" s="5" t="str">
        <f ca="1">_xlfn.FORMULATEXT(F7)</f>
        <v>=TOROW(B4#)</v>
      </c>
      <c r="G6" s="5"/>
      <c r="H6" s="5"/>
    </row>
    <row r="7" spans="1:15" ht="23.4">
      <c r="B7" s="96">
        <v>4</v>
      </c>
      <c r="C7" s="5"/>
      <c r="D7" s="5"/>
      <c r="E7" s="5"/>
      <c r="F7" s="96" cm="1">
        <f t="array" ref="F7:J7">_xlfn.TOROW(_xlfn.ANCHORARRAY(B4))</f>
        <v>1</v>
      </c>
      <c r="G7" s="96">
        <v>2</v>
      </c>
      <c r="H7" s="96">
        <v>3</v>
      </c>
      <c r="I7" s="96">
        <v>4</v>
      </c>
      <c r="J7" s="96">
        <v>5</v>
      </c>
    </row>
    <row r="8" spans="1:15" ht="23.4">
      <c r="B8" s="96">
        <v>5</v>
      </c>
      <c r="C8" s="5"/>
      <c r="D8" s="5"/>
      <c r="E8" s="5"/>
      <c r="F8" s="5" t="str">
        <f ca="1">_xlfn.FORMULATEXT(F9)</f>
        <v>=TRANSPOSE(B4#)</v>
      </c>
      <c r="G8" s="5"/>
      <c r="H8" s="5"/>
    </row>
    <row r="9" spans="1:15" ht="23.4">
      <c r="B9" s="5"/>
      <c r="C9" s="5"/>
      <c r="D9" s="5"/>
      <c r="E9" s="5"/>
      <c r="F9" s="96" cm="1">
        <f t="array" ref="F9:J9">TRANSPOSE(_xlfn.ANCHORARRAY(B4))</f>
        <v>1</v>
      </c>
      <c r="G9" s="96">
        <v>2</v>
      </c>
      <c r="H9" s="96">
        <v>3</v>
      </c>
      <c r="I9" s="96">
        <v>4</v>
      </c>
      <c r="J9" s="96">
        <v>5</v>
      </c>
    </row>
    <row r="10" spans="1:15" ht="18">
      <c r="B10" s="25" t="str">
        <f ca="1">_xlfn.FORMULATEXT(B11)</f>
        <v>={1\2\3\4\5}</v>
      </c>
      <c r="C10" s="5"/>
      <c r="D10" s="5"/>
      <c r="E10" s="5"/>
      <c r="F10" s="5"/>
      <c r="G10" s="5"/>
      <c r="H10" s="5"/>
    </row>
    <row r="11" spans="1:15" ht="23.4">
      <c r="B11" s="96" cm="1">
        <f t="array" ref="B11:F11">{1,2,3,4,5}</f>
        <v>1</v>
      </c>
      <c r="C11" s="96">
        <v>2</v>
      </c>
      <c r="D11" s="96">
        <v>3</v>
      </c>
      <c r="E11" s="96">
        <v>4</v>
      </c>
      <c r="F11" s="96">
        <v>5</v>
      </c>
      <c r="G11" s="5"/>
      <c r="H11" s="5"/>
      <c r="M11" s="25" t="str">
        <f ca="1">_xlfn.FORMULATEXT(M12)</f>
        <v>={1;2;3}*{1\2\3}</v>
      </c>
    </row>
    <row r="12" spans="1:15" ht="23.4">
      <c r="B12" s="25" t="str">
        <f ca="1">_xlfn.FORMULATEXT(B13)</f>
        <v>=SUM(B11#*{5\4\3\2\1})</v>
      </c>
      <c r="C12" s="5"/>
      <c r="D12" s="25" t="str">
        <f ca="1">_xlfn.FORMULATEXT(D13)</f>
        <v>=SUM(B11#*{5;4;3;2;1})</v>
      </c>
      <c r="E12" s="5"/>
      <c r="F12" s="5"/>
      <c r="G12" s="5"/>
      <c r="H12" s="5"/>
      <c r="M12" s="96" cm="1">
        <f t="array" ref="M12:O14">{1;2;3}*{1,2,3}</f>
        <v>1</v>
      </c>
      <c r="N12" s="96">
        <v>2</v>
      </c>
      <c r="O12" s="96">
        <v>3</v>
      </c>
    </row>
    <row r="13" spans="1:15" ht="23.4">
      <c r="B13" s="96" cm="1">
        <f t="array" ref="B13">SUM(_xlfn.ANCHORARRAY(B11)*{5,4,3,2,1})</f>
        <v>35</v>
      </c>
      <c r="C13" s="5"/>
      <c r="D13" s="96" cm="1">
        <f t="array" ref="D13">SUM(_xlfn.ANCHORARRAY(B11)*{5;4;3;2;1})</f>
        <v>225</v>
      </c>
      <c r="E13" s="5"/>
      <c r="F13" s="5"/>
      <c r="G13" s="5"/>
      <c r="H13" s="5"/>
      <c r="M13" s="96">
        <v>2</v>
      </c>
      <c r="N13" s="96">
        <v>4</v>
      </c>
      <c r="O13" s="96">
        <v>6</v>
      </c>
    </row>
    <row r="14" spans="1:15" ht="23.4">
      <c r="C14" s="5"/>
      <c r="D14" s="5"/>
      <c r="E14" s="5"/>
      <c r="F14" s="5"/>
      <c r="G14" s="5"/>
      <c r="H14" s="5"/>
      <c r="M14" s="96">
        <v>3</v>
      </c>
      <c r="N14" s="96">
        <v>6</v>
      </c>
      <c r="O14" s="96">
        <v>9</v>
      </c>
    </row>
    <row r="15" spans="1:15" ht="18">
      <c r="B15" s="5"/>
      <c r="C15" s="5"/>
      <c r="D15" s="5"/>
      <c r="E15" s="5"/>
      <c r="F15" s="5"/>
      <c r="G15" s="5"/>
      <c r="H15" s="5"/>
    </row>
    <row r="16" spans="1:15" ht="18">
      <c r="B16" s="126" t="s">
        <v>732</v>
      </c>
      <c r="C16" s="127">
        <v>500</v>
      </c>
      <c r="D16" s="127">
        <v>300</v>
      </c>
      <c r="E16" s="127">
        <v>250</v>
      </c>
      <c r="F16" s="128">
        <v>400</v>
      </c>
      <c r="G16" s="5"/>
      <c r="H16" s="5"/>
    </row>
    <row r="17" spans="1:8" ht="18">
      <c r="B17" s="129" t="s">
        <v>733</v>
      </c>
      <c r="C17" s="63">
        <v>12.5</v>
      </c>
      <c r="D17" s="63">
        <v>5.8</v>
      </c>
      <c r="E17" s="63">
        <v>14</v>
      </c>
      <c r="F17" s="130">
        <v>21.3</v>
      </c>
      <c r="G17" s="5"/>
      <c r="H17" s="5"/>
    </row>
    <row r="18" spans="1:8" ht="18">
      <c r="B18" s="58"/>
      <c r="D18" s="5"/>
      <c r="E18" s="5"/>
      <c r="F18" s="59"/>
      <c r="G18" s="5"/>
      <c r="H18" s="5"/>
    </row>
    <row r="19" spans="1:8" ht="23.4">
      <c r="B19" s="58" t="s">
        <v>734</v>
      </c>
      <c r="C19" s="96" cm="1">
        <f t="array" ref="C19:F19">C16:F16*C17:F17</f>
        <v>6250</v>
      </c>
      <c r="D19" s="96">
        <v>1740</v>
      </c>
      <c r="E19" s="96">
        <v>3500</v>
      </c>
      <c r="F19" s="142">
        <v>8520</v>
      </c>
      <c r="G19" s="25" t="str">
        <f ca="1">_xlfn.FORMULATEXT(C19)</f>
        <v>=C16:F16*C17:F17</v>
      </c>
      <c r="H19" s="5"/>
    </row>
    <row r="20" spans="1:8" ht="18">
      <c r="B20" s="58"/>
      <c r="D20" s="5"/>
      <c r="E20" s="5"/>
      <c r="F20" s="59"/>
      <c r="G20" s="5"/>
      <c r="H20" s="5"/>
    </row>
    <row r="21" spans="1:8" ht="23.4">
      <c r="B21" s="58" t="s">
        <v>735</v>
      </c>
      <c r="C21" s="96" cm="1">
        <f t="array" ref="C21">SUM(C16:F16*C17:F17)</f>
        <v>20010</v>
      </c>
      <c r="D21" s="25" t="str">
        <f ca="1">_xlfn.FORMULATEXT(C21)</f>
        <v>=SUM(C16:F16*C17:F17)</v>
      </c>
      <c r="E21" s="5"/>
      <c r="F21" s="59"/>
      <c r="H21" s="5"/>
    </row>
    <row r="22" spans="1:8" ht="23.4">
      <c r="B22" s="60"/>
      <c r="C22" s="96">
        <f>SUMPRODUCT(C16:F16,C17:F17)</f>
        <v>20010</v>
      </c>
      <c r="D22" s="143" t="str">
        <f ca="1">_xlfn.FORMULATEXT(C22)</f>
        <v>=SUMPRODUCT(C16:F16;C17:F17)</v>
      </c>
      <c r="E22" s="57"/>
      <c r="F22" s="61"/>
      <c r="G22" s="5"/>
      <c r="H22" s="5"/>
    </row>
    <row r="23" spans="1:8" ht="18">
      <c r="B23" s="5"/>
      <c r="C23" s="5"/>
      <c r="D23" s="5"/>
      <c r="E23" s="5"/>
      <c r="F23" s="5"/>
      <c r="G23" s="5"/>
      <c r="H23" s="5"/>
    </row>
    <row r="24" spans="1:8" ht="18">
      <c r="B24" s="25" t="str">
        <f ca="1">_xlfn.FORMULATEXT(B25)</f>
        <v>=Quarter1</v>
      </c>
      <c r="C24" s="25" t="str">
        <f ca="1">_xlfn.FORMULATEXT(C25)</f>
        <v>=Q1_horiz</v>
      </c>
      <c r="D24" s="5"/>
      <c r="E24" s="5"/>
      <c r="F24" s="5"/>
      <c r="G24" s="5"/>
      <c r="H24" s="5"/>
    </row>
    <row r="25" spans="1:8" ht="23.4">
      <c r="B25" s="96" t="str" cm="1">
        <f t="array" ref="B25:B27">Quarter1</f>
        <v>January</v>
      </c>
      <c r="C25" s="96" t="str" cm="1">
        <f t="array" ref="C25:E25">Q1_horiz</f>
        <v>Jan</v>
      </c>
      <c r="D25" s="96" t="str">
        <v>Feb</v>
      </c>
      <c r="E25" s="96" t="str">
        <v>Mar</v>
      </c>
      <c r="F25" s="5"/>
      <c r="G25" s="5"/>
      <c r="H25" s="5"/>
    </row>
    <row r="26" spans="1:8" ht="23.4">
      <c r="B26" s="96" t="str">
        <v>February</v>
      </c>
      <c r="C26" s="5"/>
      <c r="D26" s="5"/>
      <c r="E26" s="5"/>
      <c r="F26" s="5"/>
      <c r="G26" s="5"/>
      <c r="H26" s="5"/>
    </row>
    <row r="27" spans="1:8" ht="23.4">
      <c r="B27" s="96" t="str">
        <v>March</v>
      </c>
      <c r="C27" s="5"/>
      <c r="D27" s="5"/>
      <c r="E27" s="5"/>
      <c r="F27" s="5"/>
      <c r="G27" s="5"/>
      <c r="H27" s="5"/>
    </row>
    <row r="29" spans="1:8" s="14" customFormat="1" ht="33.6">
      <c r="A29" s="90"/>
      <c r="B29" s="90" t="s">
        <v>736</v>
      </c>
      <c r="C29" s="90"/>
      <c r="D29" s="90"/>
      <c r="E29" s="90"/>
      <c r="F29" s="90"/>
      <c r="G29" s="90"/>
      <c r="H29" s="90"/>
    </row>
    <row r="30" spans="1:8" ht="18">
      <c r="B30" s="71" t="s">
        <v>241</v>
      </c>
      <c r="C30" s="71" t="s">
        <v>637</v>
      </c>
      <c r="D30" s="71" t="s">
        <v>456</v>
      </c>
      <c r="F30" s="29" t="s">
        <v>454</v>
      </c>
      <c r="G30" s="131">
        <v>8.1000000000000003E-2</v>
      </c>
    </row>
    <row r="31" spans="1:8" ht="15.6">
      <c r="B31" s="74">
        <v>45422</v>
      </c>
      <c r="C31" s="75" t="s">
        <v>737</v>
      </c>
      <c r="D31" s="76">
        <v>12.56</v>
      </c>
    </row>
    <row r="32" spans="1:8" ht="15.6">
      <c r="B32" s="70">
        <v>45437</v>
      </c>
      <c r="C32" s="73" t="s">
        <v>738</v>
      </c>
      <c r="D32" s="8">
        <v>4.22</v>
      </c>
    </row>
    <row r="33" spans="2:12" ht="15.6">
      <c r="B33" s="74">
        <v>45452</v>
      </c>
      <c r="C33" s="75" t="s">
        <v>739</v>
      </c>
      <c r="D33" s="76">
        <v>25.33</v>
      </c>
      <c r="F33" s="71" t="s">
        <v>470</v>
      </c>
      <c r="G33" s="71"/>
      <c r="H33" s="78">
        <v>6</v>
      </c>
    </row>
    <row r="34" spans="2:12" ht="15.6">
      <c r="B34" s="70">
        <v>45467</v>
      </c>
      <c r="C34" s="73" t="s">
        <v>737</v>
      </c>
      <c r="D34" s="8">
        <v>12.5</v>
      </c>
      <c r="F34" s="8" cm="1">
        <f t="array" ref="F34">MIN(IF(MONTH($B$31:$B$36)=$H$33,$D$31:$D$36))</f>
        <v>12.5</v>
      </c>
    </row>
    <row r="35" spans="2:12" ht="18">
      <c r="B35" s="74">
        <v>45482</v>
      </c>
      <c r="C35" s="75" t="s">
        <v>740</v>
      </c>
      <c r="D35" s="76">
        <v>21.66</v>
      </c>
      <c r="F35" s="25" t="str">
        <f ca="1">_xlfn.FORMULATEXT(F34)</f>
        <v>=MIN(IF(MONTH($B$31:$B$36)=$H$33;$D$31:$D$36))</v>
      </c>
    </row>
    <row r="36" spans="2:12" ht="15.6">
      <c r="B36" s="70">
        <v>45497</v>
      </c>
      <c r="C36" s="73" t="s">
        <v>737</v>
      </c>
      <c r="D36" s="8">
        <v>15.8</v>
      </c>
    </row>
    <row r="39" spans="2:12" ht="18">
      <c r="B39" s="72" t="s">
        <v>462</v>
      </c>
      <c r="C39" s="72"/>
      <c r="G39" s="72" t="s">
        <v>466</v>
      </c>
      <c r="H39" s="72"/>
      <c r="I39" s="72"/>
      <c r="J39" s="72" t="s">
        <v>468</v>
      </c>
    </row>
    <row r="40" spans="2:12" ht="18">
      <c r="B40" s="71" t="s">
        <v>456</v>
      </c>
      <c r="D40" s="71" t="s">
        <v>458</v>
      </c>
      <c r="E40" s="62"/>
      <c r="G40" s="25" t="str">
        <f ca="1">_xlfn.FORMULATEXT(G41)</f>
        <v>=TEXT(B31:B36;"jj.mm.aa")&amp;" : CHF "&amp;D31:D36</v>
      </c>
      <c r="H40" s="25"/>
      <c r="J40" s="25" t="str">
        <f ca="1">_xlfn.FORMULATEXT(J41)</f>
        <v>=IF(D31:D36&gt;$K$41;"&gt;"&amp;$K$41;"")</v>
      </c>
      <c r="K40" s="25"/>
      <c r="L40" s="25"/>
    </row>
    <row r="41" spans="2:12" ht="23.4">
      <c r="B41" s="96" cm="1">
        <f t="array" ref="B41:B46">D31:D36*(1+$G$30)</f>
        <v>13.577360000000001</v>
      </c>
      <c r="D41" s="96" cm="1">
        <f t="array" ref="D41">SUM(ROUND(D31:D36*(1+$G$30),2))</f>
        <v>99.52</v>
      </c>
      <c r="G41" s="96" t="str" cm="1">
        <f t="array" ref="G41:G46">TEXT(B31:B36,"jj.mm.aa")&amp;" : CHF "&amp;D31:D36</f>
        <v>10.05.24 : CHF 12,56</v>
      </c>
      <c r="J41" s="96" t="str" cm="1">
        <f t="array" ref="J41:J46">IF(D31:D36&gt;$K$41,"&gt;"&amp;$K$41,"")</f>
        <v>&gt;10</v>
      </c>
      <c r="K41" s="98">
        <v>10</v>
      </c>
    </row>
    <row r="42" spans="2:12" ht="23.4">
      <c r="B42" s="96">
        <v>4.56182</v>
      </c>
      <c r="D42" s="71" t="s">
        <v>460</v>
      </c>
      <c r="E42" s="71"/>
      <c r="G42" s="96" t="str">
        <v>25.05.24 : CHF 4,22</v>
      </c>
      <c r="J42" s="96" t="str">
        <v/>
      </c>
    </row>
    <row r="43" spans="2:12" ht="23.4">
      <c r="B43" s="96">
        <v>27.381729999999997</v>
      </c>
      <c r="D43" s="96" cm="1">
        <f t="array" ref="D43">SUM(ROUND(_xlfn.ANCHORARRAY($B$41),2))</f>
        <v>99.52</v>
      </c>
      <c r="G43" s="96" t="str">
        <v>09.06.24 : CHF 25,33</v>
      </c>
      <c r="J43" s="96" t="str">
        <v>&gt;10</v>
      </c>
    </row>
    <row r="44" spans="2:12" ht="23.4">
      <c r="B44" s="96">
        <v>13.512499999999999</v>
      </c>
      <c r="G44" s="96" t="str">
        <v>24.06.24 : CHF 12,5</v>
      </c>
      <c r="J44" s="96" t="str">
        <v>&gt;10</v>
      </c>
    </row>
    <row r="45" spans="2:12" ht="23.4">
      <c r="B45" s="96">
        <v>23.414459999999998</v>
      </c>
      <c r="G45" s="96" t="str">
        <v>09.07.24 : CHF 21,66</v>
      </c>
      <c r="J45" s="96" t="str">
        <v>&gt;10</v>
      </c>
    </row>
    <row r="46" spans="2:12" ht="23.4">
      <c r="B46" s="96">
        <v>17.079799999999999</v>
      </c>
      <c r="G46" s="96" t="str">
        <v>24.07.24 : CHF 15,8</v>
      </c>
      <c r="J46" s="96" t="str">
        <v>&gt;10</v>
      </c>
    </row>
    <row r="47" spans="2:12" ht="15.6">
      <c r="B47" s="8"/>
      <c r="G47" s="3"/>
      <c r="J47" s="3"/>
    </row>
    <row r="48" spans="2:12" outlineLevel="1"/>
    <row r="49" spans="1:18" ht="18" outlineLevel="1">
      <c r="B49" s="9"/>
      <c r="C49" s="44" cm="1">
        <f t="array" ref="C49:H49">_xlfn.SEQUENCE(1,6)</f>
        <v>1</v>
      </c>
      <c r="D49" s="44">
        <v>2</v>
      </c>
      <c r="E49" s="44">
        <v>3</v>
      </c>
      <c r="F49" s="44">
        <v>4</v>
      </c>
      <c r="G49" s="44">
        <v>5</v>
      </c>
      <c r="H49" s="44">
        <v>6</v>
      </c>
      <c r="I49" s="25" t="str">
        <f ca="1">_xlfn.FORMULATEXT(C49)</f>
        <v>=SEQUENCE(1;6)</v>
      </c>
      <c r="N49" s="19"/>
      <c r="O49" s="19"/>
      <c r="P49" s="19"/>
      <c r="Q49" s="19"/>
      <c r="R49" s="19"/>
    </row>
    <row r="50" spans="1:18" ht="23.4" outlineLevel="1">
      <c r="B50" s="44" cm="1">
        <f t="array" ref="B50:B54">_xlfn.SEQUENCE(5,1,2018,1)</f>
        <v>2018</v>
      </c>
      <c r="C50" s="132" cm="1">
        <f t="array" ref="C50:H54">DATE(_xlfn.ANCHORARRAY(B50),_xlfn.ANCHORARRAY(C49),_xlfn.ANCHORARRAY(C49))</f>
        <v>43101</v>
      </c>
      <c r="D50" s="132">
        <v>43133</v>
      </c>
      <c r="E50" s="132">
        <v>43162</v>
      </c>
      <c r="F50" s="132">
        <v>43194</v>
      </c>
      <c r="G50" s="132">
        <v>43225</v>
      </c>
      <c r="H50" s="132">
        <v>43257</v>
      </c>
      <c r="I50" s="25" t="str">
        <f ca="1">_xlfn.FORMULATEXT(C50)</f>
        <v>=DATE(B50#;C49#;C49#)</v>
      </c>
      <c r="M50" s="19"/>
      <c r="N50" s="19"/>
      <c r="O50" s="19"/>
      <c r="P50" s="19"/>
      <c r="Q50" s="19"/>
      <c r="R50" s="19"/>
    </row>
    <row r="51" spans="1:18" ht="23.4" outlineLevel="1">
      <c r="B51" s="44">
        <v>2019</v>
      </c>
      <c r="C51" s="132">
        <v>43466</v>
      </c>
      <c r="D51" s="132">
        <v>43498</v>
      </c>
      <c r="E51" s="132">
        <v>43527</v>
      </c>
      <c r="F51" s="132">
        <v>43559</v>
      </c>
      <c r="G51" s="132">
        <v>43590</v>
      </c>
      <c r="H51" s="132">
        <v>43622</v>
      </c>
      <c r="M51" s="19"/>
      <c r="N51" s="19"/>
      <c r="O51" s="19"/>
      <c r="P51" s="19"/>
      <c r="Q51" s="19"/>
      <c r="R51" s="19"/>
    </row>
    <row r="52" spans="1:18" ht="23.4" outlineLevel="1">
      <c r="B52" s="44">
        <v>2020</v>
      </c>
      <c r="C52" s="132">
        <v>43831</v>
      </c>
      <c r="D52" s="132">
        <v>43863</v>
      </c>
      <c r="E52" s="132">
        <v>43893</v>
      </c>
      <c r="F52" s="132">
        <v>43925</v>
      </c>
      <c r="G52" s="132">
        <v>43956</v>
      </c>
      <c r="H52" s="132">
        <v>43988</v>
      </c>
      <c r="M52" s="19"/>
      <c r="N52" s="19"/>
      <c r="O52" s="19"/>
      <c r="P52" s="19"/>
      <c r="Q52" s="19"/>
      <c r="R52" s="19"/>
    </row>
    <row r="53" spans="1:18" ht="23.4" outlineLevel="1">
      <c r="B53" s="44">
        <v>2021</v>
      </c>
      <c r="C53" s="132">
        <v>44197</v>
      </c>
      <c r="D53" s="132">
        <v>44229</v>
      </c>
      <c r="E53" s="132">
        <v>44258</v>
      </c>
      <c r="F53" s="132">
        <v>44290</v>
      </c>
      <c r="G53" s="132">
        <v>44321</v>
      </c>
      <c r="H53" s="132">
        <v>44353</v>
      </c>
      <c r="L53" s="7"/>
      <c r="M53" s="19"/>
      <c r="N53" s="19"/>
      <c r="O53" s="19"/>
      <c r="P53" s="19"/>
      <c r="Q53" s="19"/>
      <c r="R53" s="19"/>
    </row>
    <row r="54" spans="1:18" ht="23.4" outlineLevel="1">
      <c r="B54" s="44">
        <v>2022</v>
      </c>
      <c r="C54" s="132">
        <v>44562</v>
      </c>
      <c r="D54" s="132">
        <v>44594</v>
      </c>
      <c r="E54" s="132">
        <v>44623</v>
      </c>
      <c r="F54" s="132">
        <v>44655</v>
      </c>
      <c r="G54" s="132">
        <v>44686</v>
      </c>
      <c r="H54" s="132">
        <v>44718</v>
      </c>
    </row>
    <row r="55" spans="1:18" ht="18" outlineLevel="1">
      <c r="B55" s="79" t="str">
        <f ca="1">_xlfn.FORMULATEXT(B50)</f>
        <v>=SEQUENCE(5;1;2018;1)</v>
      </c>
      <c r="C55" s="25"/>
      <c r="D55" s="25"/>
      <c r="E55" s="25"/>
      <c r="F55" s="25"/>
      <c r="G55" s="25"/>
      <c r="H55" s="25"/>
    </row>
    <row r="57" spans="1:18" s="14" customFormat="1" ht="33.6">
      <c r="A57" s="90"/>
      <c r="B57" s="90" t="s">
        <v>390</v>
      </c>
      <c r="C57" s="90"/>
      <c r="D57" s="90"/>
      <c r="E57" s="90"/>
      <c r="F57" s="90"/>
      <c r="G57" s="90"/>
      <c r="H57" s="90"/>
    </row>
    <row r="58" spans="1:18" ht="18">
      <c r="B58" s="25" t="str">
        <f ca="1">_xlfn.FORMULATEXT(B59)</f>
        <v>=UNIQUE($C$31:$C$36)</v>
      </c>
      <c r="D58" s="25" t="str">
        <f ca="1">_xlfn.FORMULATEXT(D59)</f>
        <v>=SORT(B31:D36;2;1)</v>
      </c>
      <c r="E58" s="25"/>
      <c r="F58" s="25"/>
      <c r="H58" s="25" t="str">
        <f ca="1">_xlfn.FORMULATEXT(H59)</f>
        <v>=SORTBY(B31:D36;C31:C36;1;D31:D36;-1)</v>
      </c>
      <c r="I58" s="25"/>
      <c r="J58" s="25"/>
      <c r="K58" s="25"/>
    </row>
    <row r="59" spans="1:18" ht="23.4">
      <c r="B59" s="96" t="str" cm="1">
        <f t="array" ref="B59:B62">_xlfn.UNIQUE($C$31:$C$36)</f>
        <v>Prod1</v>
      </c>
      <c r="D59" s="96" cm="1">
        <f t="array" ref="D59:F64">_xlfn._xlws.SORT(B31:D36,2,1)</f>
        <v>45422</v>
      </c>
      <c r="E59" s="96" t="str">
        <v>Prod1</v>
      </c>
      <c r="F59" s="96">
        <v>12.56</v>
      </c>
      <c r="H59" s="96" cm="1">
        <f t="array" ref="H59:J64">_xlfn.SORTBY(B31:D36,C31:C36,1,D31:D36,-1)</f>
        <v>45497</v>
      </c>
      <c r="I59" s="96" t="str">
        <v>Prod1</v>
      </c>
      <c r="J59" s="96">
        <v>15.8</v>
      </c>
    </row>
    <row r="60" spans="1:18" ht="23.4">
      <c r="B60" s="96" t="str">
        <v>Prod2</v>
      </c>
      <c r="D60" s="96">
        <v>45467</v>
      </c>
      <c r="E60" s="96" t="str">
        <v>Prod1</v>
      </c>
      <c r="F60" s="96">
        <v>12.5</v>
      </c>
      <c r="H60" s="96">
        <v>45422</v>
      </c>
      <c r="I60" s="96" t="str">
        <v>Prod1</v>
      </c>
      <c r="J60" s="96">
        <v>12.56</v>
      </c>
    </row>
    <row r="61" spans="1:18" ht="23.4">
      <c r="B61" s="96" t="str">
        <v>Prod3</v>
      </c>
      <c r="D61" s="96">
        <v>45497</v>
      </c>
      <c r="E61" s="96" t="str">
        <v>Prod1</v>
      </c>
      <c r="F61" s="96">
        <v>15.8</v>
      </c>
      <c r="H61" s="96">
        <v>45467</v>
      </c>
      <c r="I61" s="96" t="str">
        <v>Prod1</v>
      </c>
      <c r="J61" s="96">
        <v>12.5</v>
      </c>
    </row>
    <row r="62" spans="1:18" ht="23.4">
      <c r="B62" s="96" t="str">
        <v>Prod5</v>
      </c>
      <c r="D62" s="96">
        <v>45437</v>
      </c>
      <c r="E62" s="96" t="str">
        <v>Prod2</v>
      </c>
      <c r="F62" s="96">
        <v>4.22</v>
      </c>
      <c r="H62" s="96">
        <v>45437</v>
      </c>
      <c r="I62" s="96" t="str">
        <v>Prod2</v>
      </c>
      <c r="J62" s="96">
        <v>4.22</v>
      </c>
    </row>
    <row r="63" spans="1:18" ht="23.4">
      <c r="D63" s="96">
        <v>45452</v>
      </c>
      <c r="E63" s="96" t="str">
        <v>Prod3</v>
      </c>
      <c r="F63" s="96">
        <v>25.33</v>
      </c>
      <c r="H63" s="96">
        <v>45452</v>
      </c>
      <c r="I63" s="96" t="str">
        <v>Prod3</v>
      </c>
      <c r="J63" s="96">
        <v>25.33</v>
      </c>
    </row>
    <row r="64" spans="1:18" ht="23.4">
      <c r="D64" s="96">
        <v>45482</v>
      </c>
      <c r="E64" s="96" t="str">
        <v>Prod5</v>
      </c>
      <c r="F64" s="96">
        <v>21.66</v>
      </c>
      <c r="H64" s="96">
        <v>45482</v>
      </c>
      <c r="I64" s="96" t="str">
        <v>Prod5</v>
      </c>
      <c r="J64" s="96">
        <v>21.66</v>
      </c>
      <c r="M64" s="81"/>
    </row>
    <row r="67" spans="2:13" ht="18">
      <c r="B67" s="25" t="str">
        <f ca="1">_xlfn.FORMULATEXT(B68)</f>
        <v>=SEQUENCE(2)</v>
      </c>
      <c r="D67" s="25" t="str">
        <f ca="1">_xlfn.FORMULATEXT(D68)</f>
        <v>=LARGE(D31:D36;SEQUENCE(2))</v>
      </c>
      <c r="E67" s="25"/>
      <c r="F67" s="25"/>
    </row>
    <row r="68" spans="2:13" ht="23.4">
      <c r="B68" s="96" cm="1">
        <f t="array" ref="B68:B69">_xlfn.SEQUENCE(2)</f>
        <v>1</v>
      </c>
      <c r="D68" s="96" cm="1">
        <f t="array" ref="D68:D69">LARGE(D31:D36,_xlfn.SEQUENCE(2))</f>
        <v>25.33</v>
      </c>
    </row>
    <row r="69" spans="2:13" ht="23.4">
      <c r="B69" s="96">
        <v>2</v>
      </c>
      <c r="D69" s="96">
        <v>21.66</v>
      </c>
    </row>
    <row r="72" spans="2:13" ht="15.6">
      <c r="B72" s="71" t="s">
        <v>472</v>
      </c>
      <c r="C72" s="71"/>
      <c r="D72" s="71" t="s">
        <v>741</v>
      </c>
      <c r="E72" s="71" t="s">
        <v>742</v>
      </c>
      <c r="F72" s="71" t="s">
        <v>743</v>
      </c>
      <c r="G72" s="71" t="s">
        <v>744</v>
      </c>
      <c r="I72" s="71" t="s">
        <v>472</v>
      </c>
      <c r="J72" s="71"/>
      <c r="K72" s="71"/>
      <c r="L72" s="71"/>
      <c r="M72" s="71"/>
    </row>
    <row r="73" spans="2:13" ht="18">
      <c r="C73" s="11" t="s">
        <v>474</v>
      </c>
      <c r="D73" s="134">
        <v>15000</v>
      </c>
      <c r="E73" s="134">
        <v>15000</v>
      </c>
      <c r="F73" s="134">
        <v>15000</v>
      </c>
      <c r="G73" s="134">
        <v>20000</v>
      </c>
      <c r="I73" s="26" t="s">
        <v>476</v>
      </c>
      <c r="J73" s="131">
        <v>0.15709999999999999</v>
      </c>
      <c r="K73" s="11" t="s">
        <v>474</v>
      </c>
      <c r="L73" s="31" t="s">
        <v>745</v>
      </c>
      <c r="M73" s="134">
        <v>15000</v>
      </c>
    </row>
    <row r="74" spans="2:13" ht="18">
      <c r="B74" s="26" t="s">
        <v>476</v>
      </c>
      <c r="C74" s="131">
        <v>0.15709999999999999</v>
      </c>
      <c r="D74" s="134" cm="1">
        <f t="array" ref="D74:G76">D73:G73*C74:C76</f>
        <v>2356.5</v>
      </c>
      <c r="E74" s="134">
        <v>2356.5</v>
      </c>
      <c r="F74" s="134">
        <v>2356.5</v>
      </c>
      <c r="G74" s="134">
        <v>3142</v>
      </c>
      <c r="I74" s="26" t="s">
        <v>478</v>
      </c>
      <c r="J74" s="133">
        <v>0.1</v>
      </c>
      <c r="L74" s="31" t="s">
        <v>746</v>
      </c>
      <c r="M74" s="134">
        <v>15000</v>
      </c>
    </row>
    <row r="75" spans="2:13" ht="18">
      <c r="B75" s="26" t="s">
        <v>478</v>
      </c>
      <c r="C75" s="133">
        <v>0.1</v>
      </c>
      <c r="D75" s="134">
        <v>1500</v>
      </c>
      <c r="E75" s="134">
        <v>1500</v>
      </c>
      <c r="F75" s="134">
        <v>1500</v>
      </c>
      <c r="G75" s="134">
        <v>2000</v>
      </c>
      <c r="I75" s="26" t="s">
        <v>480</v>
      </c>
      <c r="J75" s="133">
        <v>0.01</v>
      </c>
      <c r="L75" s="31" t="s">
        <v>747</v>
      </c>
      <c r="M75" s="134">
        <v>15000</v>
      </c>
    </row>
    <row r="76" spans="2:13" ht="18">
      <c r="B76" s="26" t="s">
        <v>480</v>
      </c>
      <c r="C76" s="133">
        <v>0.01</v>
      </c>
      <c r="D76" s="134">
        <v>150</v>
      </c>
      <c r="E76" s="134">
        <v>150</v>
      </c>
      <c r="F76" s="134">
        <v>150</v>
      </c>
      <c r="G76" s="134">
        <v>200</v>
      </c>
      <c r="L76" s="31" t="s">
        <v>748</v>
      </c>
      <c r="M76" s="134">
        <v>20000</v>
      </c>
    </row>
    <row r="77" spans="2:13">
      <c r="C77" s="11"/>
      <c r="D77" s="134">
        <f>SUM(D73:D76)</f>
        <v>19006.5</v>
      </c>
      <c r="E77" s="134">
        <f>SUM(E73:E76)</f>
        <v>19006.5</v>
      </c>
      <c r="F77" s="134">
        <f>SUM(F73:F76)</f>
        <v>19006.5</v>
      </c>
      <c r="G77" s="134">
        <f>SUM(G73:G76)</f>
        <v>25342</v>
      </c>
    </row>
    <row r="78" spans="2:13" ht="23.4">
      <c r="C78" s="88" t="s">
        <v>482</v>
      </c>
      <c r="D78" s="136">
        <f>SUM(D73:G76)</f>
        <v>82361.5</v>
      </c>
      <c r="E78" s="81"/>
      <c r="F78" s="81"/>
      <c r="G78" s="81"/>
      <c r="L78" s="88" t="s">
        <v>482</v>
      </c>
      <c r="M78" s="96" cm="1">
        <f t="array" ref="M78">SUM(_xlfn.TOROW($M$73:$M$76)*$J$73:$J$75,$M$73:$M$76)</f>
        <v>82361.5</v>
      </c>
    </row>
    <row r="80" spans="2:13" ht="18">
      <c r="B80" s="71" t="s">
        <v>484</v>
      </c>
      <c r="C80" s="71"/>
      <c r="D80" s="71"/>
      <c r="E80" s="71"/>
      <c r="F80" s="71"/>
      <c r="G80" s="71"/>
      <c r="M80" s="25" t="str">
        <f ca="1">_xlfn.FORMULATEXT(M78)</f>
        <v>=SUM(TOROW($M$73:$M$76)*$J$73:$J$75;$M$73:$M$76)</v>
      </c>
    </row>
    <row r="81" spans="2:12" ht="18">
      <c r="B81" s="85" t="s">
        <v>507</v>
      </c>
      <c r="C81" s="92" cm="1">
        <f t="array" ref="C81:G81">_xlfn.SEQUENCE(1,5,0.02,0.005)</f>
        <v>0.02</v>
      </c>
      <c r="D81" s="92">
        <v>2.5000000000000001E-2</v>
      </c>
      <c r="E81" s="92">
        <v>3.0000000000000002E-2</v>
      </c>
      <c r="F81" s="92">
        <v>3.5000000000000003E-2</v>
      </c>
      <c r="G81" s="92">
        <v>0.04</v>
      </c>
      <c r="I81" s="135" t="s">
        <v>486</v>
      </c>
    </row>
    <row r="82" spans="2:12" ht="23.4">
      <c r="B82" s="91" cm="1">
        <f t="array" ref="B82:B87">_xlfn.SEQUENCE(6,1,10,3)</f>
        <v>10</v>
      </c>
      <c r="C82" s="96" cm="1">
        <f t="array" ref="C82:G87">ROUND(FV(_xlfn.ANCHORARRAY(C81),_xlfn.ANCHORARRAY(B82),-I82,-I84),2)</f>
        <v>115592.18</v>
      </c>
      <c r="D82" s="96">
        <v>118434.24000000001</v>
      </c>
      <c r="E82" s="96">
        <v>121358.38</v>
      </c>
      <c r="F82" s="96">
        <v>124366.93</v>
      </c>
      <c r="G82" s="96">
        <v>127462.29</v>
      </c>
      <c r="I82" s="98">
        <v>10000</v>
      </c>
    </row>
    <row r="83" spans="2:12" ht="23.4">
      <c r="B83" s="91">
        <v>13</v>
      </c>
      <c r="C83" s="96">
        <v>153271.35</v>
      </c>
      <c r="D83" s="96">
        <v>158296.97</v>
      </c>
      <c r="E83" s="96">
        <v>163520.57</v>
      </c>
      <c r="F83" s="96">
        <v>168950.08</v>
      </c>
      <c r="G83" s="96">
        <v>174593.74</v>
      </c>
      <c r="I83" s="3" t="s">
        <v>488</v>
      </c>
    </row>
    <row r="84" spans="2:12" ht="23.4">
      <c r="B84" s="91">
        <v>16</v>
      </c>
      <c r="C84" s="96">
        <v>193256.78</v>
      </c>
      <c r="D84" s="96">
        <v>201224.78</v>
      </c>
      <c r="E84" s="96">
        <v>209592.35</v>
      </c>
      <c r="F84" s="96">
        <v>218380.23</v>
      </c>
      <c r="G84" s="96">
        <v>227610.22</v>
      </c>
      <c r="I84" s="98">
        <v>5000</v>
      </c>
    </row>
    <row r="85" spans="2:12" ht="23.4">
      <c r="B85" s="91">
        <v>19</v>
      </c>
      <c r="C85" s="96">
        <v>235689.64</v>
      </c>
      <c r="D85" s="96">
        <v>247453.33</v>
      </c>
      <c r="E85" s="96">
        <v>259936.21</v>
      </c>
      <c r="F85" s="96">
        <v>273184.31</v>
      </c>
      <c r="G85" s="96">
        <v>287246.53999999998</v>
      </c>
    </row>
    <row r="86" spans="2:12" ht="23.4">
      <c r="B86" s="91">
        <v>22</v>
      </c>
      <c r="C86" s="96">
        <v>280719.73</v>
      </c>
      <c r="D86" s="96">
        <v>297236.42</v>
      </c>
      <c r="E86" s="96">
        <v>314948.32</v>
      </c>
      <c r="F86" s="96">
        <v>333946.58</v>
      </c>
      <c r="G86" s="96">
        <v>354329.29</v>
      </c>
    </row>
    <row r="87" spans="2:12" ht="23.4">
      <c r="B87" s="91">
        <v>25</v>
      </c>
      <c r="C87" s="96">
        <v>328506.03000000003</v>
      </c>
      <c r="D87" s="96">
        <v>350847.36</v>
      </c>
      <c r="E87" s="96">
        <v>375061.53</v>
      </c>
      <c r="F87" s="96">
        <v>401314.79</v>
      </c>
      <c r="G87" s="96">
        <v>429788.26</v>
      </c>
    </row>
    <row r="90" spans="2:12" ht="15.6">
      <c r="B90" s="71" t="s">
        <v>490</v>
      </c>
      <c r="C90" s="71"/>
      <c r="D90" s="71"/>
      <c r="E90" s="71"/>
    </row>
    <row r="91" spans="2:12">
      <c r="C91" t="s">
        <v>492</v>
      </c>
      <c r="D91" s="80">
        <v>0.6</v>
      </c>
      <c r="E91" s="13">
        <v>0.4</v>
      </c>
    </row>
    <row r="92" spans="2:12" ht="31.5" customHeight="1">
      <c r="B92" s="84" t="s">
        <v>494</v>
      </c>
      <c r="C92" s="84"/>
      <c r="D92" t="s">
        <v>496</v>
      </c>
      <c r="E92" s="137" t="s">
        <v>498</v>
      </c>
    </row>
    <row r="93" spans="2:12">
      <c r="B93" s="31" t="s">
        <v>500</v>
      </c>
      <c r="C93" s="86">
        <v>0.35</v>
      </c>
      <c r="D93" s="86">
        <v>2.5000000000000001E-2</v>
      </c>
      <c r="E93" s="87">
        <v>-7.4999999999999997E-2</v>
      </c>
      <c r="H93" s="139" cm="1">
        <f t="array" ref="H93:I95">$D$93:$E$95*$C$93:$C$95</f>
        <v>8.7499999999999991E-3</v>
      </c>
      <c r="I93" s="139">
        <v>-2.6249999999999999E-2</v>
      </c>
      <c r="K93" s="138" cm="1">
        <f t="array" ref="K93:L95">$D$93:$E$95*$C$93:$C$95*D91:E91</f>
        <v>5.2499999999999995E-3</v>
      </c>
      <c r="L93" s="138">
        <v>-1.0500000000000001E-2</v>
      </c>
    </row>
    <row r="94" spans="2:12">
      <c r="B94" t="s">
        <v>502</v>
      </c>
      <c r="C94" s="13">
        <v>0.25</v>
      </c>
      <c r="D94" s="80">
        <v>8.5000000000000006E-2</v>
      </c>
      <c r="E94" s="32">
        <v>0.125</v>
      </c>
      <c r="H94" s="139">
        <v>2.1250000000000002E-2</v>
      </c>
      <c r="I94" s="139">
        <v>3.125E-2</v>
      </c>
      <c r="K94" s="138">
        <v>1.2750000000000001E-2</v>
      </c>
      <c r="L94" s="138">
        <v>1.2500000000000001E-2</v>
      </c>
    </row>
    <row r="95" spans="2:12">
      <c r="B95" s="31" t="s">
        <v>504</v>
      </c>
      <c r="C95" s="86">
        <v>0.4</v>
      </c>
      <c r="D95" s="86">
        <v>0.14499999999999999</v>
      </c>
      <c r="E95" s="87">
        <v>0.22</v>
      </c>
      <c r="H95" s="139">
        <v>5.7999999999999996E-2</v>
      </c>
      <c r="I95" s="139">
        <v>8.8000000000000009E-2</v>
      </c>
      <c r="K95" s="138">
        <v>3.4799999999999998E-2</v>
      </c>
      <c r="L95" s="138">
        <v>3.5200000000000002E-2</v>
      </c>
    </row>
    <row r="96" spans="2:12" ht="23.4">
      <c r="C96" s="91"/>
      <c r="D96" s="93" t="s">
        <v>505</v>
      </c>
      <c r="E96" s="97" cm="1">
        <f t="array" ref="E96">SUM(D93:E95*C93:C95*D91:E91)</f>
        <v>0.09</v>
      </c>
      <c r="H96" s="25" t="str">
        <f ca="1">_xlfn.FORMULATEXT(H93)</f>
        <v>=$D$93:$E$95*$C$93:$C$95</v>
      </c>
      <c r="K96" s="25" t="str">
        <f ca="1">_xlfn.FORMULATEXT(K93)</f>
        <v>=$D$93:$E$95*$C$93:$C$95*D91:E91</v>
      </c>
    </row>
    <row r="98" spans="5:5" ht="18">
      <c r="E98" s="25" t="str">
        <f ca="1">_xlfn.FORMULATEXT(E96)</f>
        <v>=SUM(D93:E95*C93:C95*D91:E91)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C6AA3-5772-43A0-9F7A-0AC480037B5A}">
  <sheetPr codeName="Sheet17">
    <tabColor rgb="FF7030A0"/>
  </sheetPr>
  <dimension ref="B1:M25"/>
  <sheetViews>
    <sheetView workbookViewId="0">
      <selection activeCell="B3" sqref="B3"/>
    </sheetView>
  </sheetViews>
  <sheetFormatPr defaultColWidth="9.109375" defaultRowHeight="14.4"/>
  <cols>
    <col min="1" max="1" width="4.44140625" customWidth="1"/>
    <col min="2" max="2" width="26.33203125" customWidth="1"/>
    <col min="4" max="4" width="26.33203125" customWidth="1"/>
    <col min="5" max="5" width="7.109375" customWidth="1"/>
  </cols>
  <sheetData>
    <row r="1" spans="2:11" s="31" customFormat="1"/>
    <row r="2" spans="2:11" s="31" customFormat="1" ht="18">
      <c r="K2" s="63" t="s">
        <v>749</v>
      </c>
    </row>
    <row r="3" spans="2:11" s="22" customFormat="1" ht="25.8">
      <c r="B3" s="23" t="s">
        <v>750</v>
      </c>
      <c r="K3" s="64" t="s">
        <v>751</v>
      </c>
    </row>
    <row r="14" spans="2:11">
      <c r="B14" t="e" vm="1">
        <v>#VALUE!</v>
      </c>
    </row>
    <row r="15" spans="2:11">
      <c r="B15" t="s">
        <v>752</v>
      </c>
    </row>
    <row r="16" spans="2:11">
      <c r="B16" t="s">
        <v>753</v>
      </c>
    </row>
    <row r="20" spans="8:13">
      <c r="M20" s="37"/>
    </row>
    <row r="21" spans="8:13" ht="28.5" customHeight="1">
      <c r="M21" s="37"/>
    </row>
    <row r="22" spans="8:13" ht="28.5" customHeight="1">
      <c r="H22" s="27"/>
      <c r="M22" s="37"/>
    </row>
    <row r="23" spans="8:13" ht="28.5" customHeight="1">
      <c r="M23" s="37"/>
    </row>
    <row r="24" spans="8:13">
      <c r="M24" s="37"/>
    </row>
    <row r="25" spans="8:13">
      <c r="M25" s="37"/>
    </row>
  </sheetData>
  <hyperlinks>
    <hyperlink ref="K3" r:id="rId1" xr:uid="{16DFD010-30F3-4F3E-9204-ABE5B45CBC1B}"/>
    <hyperlink ref="B15" r:id="rId2" location="bm21" display="Excel functions (alphabatival)" xr:uid="{FAE88287-61AE-4E49-928F-8AF9DB3CB794}"/>
    <hyperlink ref="B16" r:id="rId3" location="bm21" xr:uid="{3497A55F-4585-4E4A-86E9-ED9A9C73D422}"/>
  </hyperlinks>
  <pageMargins left="0.7" right="0.7" top="0.75" bottom="0.75" header="0.3" footer="0.3"/>
  <pageSetup paperSize="9" orientation="portrait" horizontalDpi="4294967293" verticalDpi="0" r:id="rId4"/>
  <drawing r:id="rId5"/>
  <legacyDrawing r:id="rId6"/>
  <mc:AlternateContent xmlns:mc="http://schemas.openxmlformats.org/markup-compatibility/2006">
    <mc:Choice Requires="x14">
      <controls>
        <mc:AlternateContent xmlns:mc="http://schemas.openxmlformats.org/markup-compatibility/2006">
          <mc:Choice Requires="x14">
            <control shapeId="18441" r:id="rId7" name="Drop Down 9">
              <controlPr defaultSize="0" autoLine="0" autoPict="0">
                <anchor moveWithCells="1">
                  <from>
                    <xdr:col>1</xdr:col>
                    <xdr:colOff>45720</xdr:colOff>
                    <xdr:row>0</xdr:row>
                    <xdr:rowOff>45720</xdr:rowOff>
                  </from>
                  <to>
                    <xdr:col>1</xdr:col>
                    <xdr:colOff>1714500</xdr:colOff>
                    <xdr:row>1</xdr:row>
                    <xdr:rowOff>144780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97B82-C123-42C3-AB54-B1FAB19EA269}">
  <sheetPr codeName="Sheet13">
    <tabColor theme="5" tint="0.79998168889431442"/>
  </sheetPr>
  <dimension ref="A1:AH54"/>
  <sheetViews>
    <sheetView topLeftCell="A4" workbookViewId="0">
      <pane xSplit="10" topLeftCell="S1" activePane="topRight" state="frozen"/>
      <selection pane="topRight" activeCell="AA27" sqref="AA27:AA32"/>
    </sheetView>
  </sheetViews>
  <sheetFormatPr defaultColWidth="9.109375" defaultRowHeight="14.4"/>
  <cols>
    <col min="1" max="1" width="4.6640625" style="182" customWidth="1"/>
    <col min="2" max="2" width="10.33203125" bestFit="1" customWidth="1"/>
    <col min="3" max="3" width="14" bestFit="1" customWidth="1"/>
    <col min="4" max="4" width="15.33203125" bestFit="1" customWidth="1"/>
    <col min="5" max="5" width="17.33203125" bestFit="1" customWidth="1"/>
    <col min="6" max="6" width="17.6640625" bestFit="1" customWidth="1"/>
    <col min="7" max="7" width="8.6640625" bestFit="1" customWidth="1"/>
    <col min="8" max="8" width="15.44140625" bestFit="1" customWidth="1"/>
    <col min="9" max="9" width="7.5546875" customWidth="1"/>
    <col min="10" max="10" width="13.88671875" customWidth="1"/>
    <col min="11" max="11" width="8.33203125" customWidth="1"/>
    <col min="12" max="12" width="20.6640625" customWidth="1"/>
    <col min="13" max="13" width="37.88671875" style="65" customWidth="1"/>
    <col min="14" max="14" width="2.6640625" style="175" customWidth="1"/>
    <col min="15" max="15" width="14.5546875" customWidth="1"/>
    <col min="16" max="16" width="29.5546875" style="65" customWidth="1"/>
    <col min="17" max="17" width="2.6640625" style="175" customWidth="1"/>
    <col min="18" max="18" width="9.5546875" bestFit="1" customWidth="1"/>
    <col min="19" max="19" width="31.6640625" style="65" customWidth="1"/>
    <col min="20" max="20" width="2.6640625" style="175" customWidth="1"/>
    <col min="21" max="21" width="13.88671875" bestFit="1" customWidth="1"/>
    <col min="22" max="22" width="13.88671875" style="65" customWidth="1"/>
    <col min="23" max="23" width="2.6640625" customWidth="1"/>
    <col min="24" max="24" width="13.88671875" customWidth="1"/>
    <col min="25" max="25" width="14.88671875" style="65" bestFit="1" customWidth="1"/>
    <col min="26" max="26" width="2.6640625" customWidth="1"/>
    <col min="27" max="27" width="16.44140625" bestFit="1" customWidth="1"/>
  </cols>
  <sheetData>
    <row r="1" spans="1:34" s="188" customFormat="1" ht="28.5" customHeight="1">
      <c r="A1" s="227" t="str" cm="1">
        <f t="array" ref="A1">TranslateMe(14)</f>
        <v>IF-AND-OR-XOR</v>
      </c>
      <c r="B1" s="227"/>
      <c r="C1" s="227"/>
      <c r="D1" s="227"/>
      <c r="E1" s="227"/>
      <c r="F1" s="227"/>
      <c r="G1" s="227"/>
      <c r="H1" s="227"/>
      <c r="I1" s="227"/>
      <c r="J1" s="227"/>
      <c r="K1" s="227"/>
      <c r="L1" s="227"/>
      <c r="M1" s="227"/>
      <c r="N1" s="175"/>
      <c r="O1" s="190"/>
      <c r="P1" s="190"/>
      <c r="Q1" s="175"/>
      <c r="R1" s="190"/>
      <c r="S1" s="190"/>
      <c r="T1" s="175"/>
      <c r="U1" s="190"/>
      <c r="V1" s="190"/>
      <c r="W1" s="219"/>
      <c r="X1" s="190"/>
      <c r="Y1" s="189"/>
      <c r="Z1" s="219"/>
    </row>
    <row r="2" spans="1:34" s="188" customFormat="1" ht="21.75" customHeight="1" thickBot="1">
      <c r="A2" s="228"/>
      <c r="B2" s="228"/>
      <c r="C2" s="228"/>
      <c r="D2" s="228"/>
      <c r="E2" s="228"/>
      <c r="F2" s="228"/>
      <c r="G2" s="228"/>
      <c r="H2" s="228"/>
      <c r="I2" s="228"/>
      <c r="J2" s="228"/>
      <c r="K2" s="228"/>
      <c r="L2" s="228"/>
      <c r="M2" s="228"/>
      <c r="N2" s="175"/>
      <c r="O2" s="191"/>
      <c r="P2" s="191"/>
      <c r="Q2" s="175"/>
      <c r="R2" s="191"/>
      <c r="S2" s="191"/>
      <c r="T2" s="175"/>
      <c r="U2" s="191"/>
      <c r="V2" s="191"/>
      <c r="W2" s="219"/>
      <c r="X2" s="191"/>
      <c r="Y2" s="189"/>
      <c r="Z2" s="219"/>
    </row>
    <row r="3" spans="1:34" s="186" customFormat="1" ht="12.75" customHeight="1">
      <c r="A3" s="185"/>
      <c r="M3" s="187"/>
      <c r="N3" s="175"/>
      <c r="P3" s="187"/>
      <c r="Q3" s="175"/>
      <c r="S3" s="187"/>
      <c r="T3" s="175"/>
      <c r="V3" s="187"/>
      <c r="W3" s="219"/>
      <c r="Y3" s="187"/>
      <c r="Z3" s="219"/>
    </row>
    <row r="4" spans="1:34" ht="79.5" customHeight="1">
      <c r="A4"/>
      <c r="L4" s="229" t="str" cm="1">
        <f t="array" ref="L4">TranslateMe(235)</f>
        <v xml:space="preserve">Write 'Yes' in column L if the cost is between 100 and 200 </v>
      </c>
      <c r="M4" s="229"/>
      <c r="O4" s="229" t="str" cm="1">
        <f t="array" ref="O4">TranslateMe(236)</f>
        <v>Write 'Yes' in column O if the total sale is greater than 300 AND the cost is less than 100</v>
      </c>
      <c r="P4" s="229"/>
      <c r="R4" s="229" t="str" cm="1">
        <f t="array" ref="R4">TranslateMe(237)</f>
        <v>Write a formula that displays true if the name of the product on the matching row starts with S (false otherwise)</v>
      </c>
      <c r="S4" s="229"/>
      <c r="T4"/>
      <c r="U4" s="229" t="str" cm="1">
        <f t="array" ref="U4">TranslateMe(238)</f>
        <v>Write 'Yes' in column U if the unit price is less than 200 OR the cost is less than 100</v>
      </c>
      <c r="V4" s="229"/>
      <c r="X4" s="229" t="str" cm="1">
        <f t="array" ref="X4">TranslateMe(239)</f>
        <v>same question using XOR</v>
      </c>
      <c r="Y4" s="229"/>
      <c r="AA4" s="229" t="str" cm="1">
        <f t="array" ref="AA4">TranslateMe(240)</f>
        <v>Check multiple conditions using the IFS function:
Write 'Starts with S' if the name does start with an 'S'. 
Write 'Price over 200' if value in C is greater then 200.
Write 'cost less than 100' if the value in D is less than 100.
Write 'No result' if no conditions were met before.</v>
      </c>
      <c r="AB4" s="229"/>
      <c r="AC4" s="229"/>
      <c r="AD4" s="229"/>
      <c r="AE4" s="229"/>
      <c r="AF4" s="229"/>
      <c r="AG4" s="229"/>
      <c r="AH4" s="229"/>
    </row>
    <row r="5" spans="1:34" ht="18">
      <c r="B5" s="150" t="str" cm="1">
        <f t="array" ref="B5">TranslateMe(179)</f>
        <v>Products</v>
      </c>
      <c r="C5" s="150" t="str" cm="1">
        <f t="array" ref="C5">TranslateMe(180)</f>
        <v>Unit price</v>
      </c>
      <c r="D5" s="150" t="str" cm="1">
        <f t="array" ref="D5">TranslateMe(181)</f>
        <v>cost</v>
      </c>
      <c r="E5" s="150" t="str" cm="1">
        <f t="array" ref="E5">TranslateMe(182)</f>
        <v>Last sale</v>
      </c>
      <c r="F5" s="150" t="str" cm="1">
        <f t="array" ref="F5">TranslateMe(183)&amp;"1"</f>
        <v>Qty1</v>
      </c>
      <c r="G5" s="150" t="str" cm="1">
        <f t="array" ref="G5">TranslateMe(183)&amp;"2"</f>
        <v>Qty2</v>
      </c>
      <c r="H5" s="150" t="str" cm="1">
        <f t="array" ref="H5">TranslateMe(183)&amp;"3"</f>
        <v>Qty3</v>
      </c>
      <c r="I5" s="150" t="str" cm="1">
        <f t="array" ref="I5">TranslateMe(183)&amp;"4"</f>
        <v>Qty4</v>
      </c>
      <c r="J5" s="150" t="s">
        <v>1066</v>
      </c>
      <c r="K5" s="240" t="str">
        <f>"Δ "</f>
        <v xml:space="preserve">Δ </v>
      </c>
      <c r="L5" s="26" t="s">
        <v>754</v>
      </c>
      <c r="M5" s="67">
        <v>100</v>
      </c>
      <c r="O5" s="26" t="s">
        <v>755</v>
      </c>
      <c r="P5" s="67">
        <v>300</v>
      </c>
      <c r="R5" s="25"/>
      <c r="U5" s="25"/>
      <c r="V5" s="68"/>
      <c r="W5" s="219"/>
      <c r="X5" s="25"/>
      <c r="Z5" s="219"/>
      <c r="AA5" s="25"/>
    </row>
    <row r="6" spans="1:34">
      <c r="L6" s="26" t="s">
        <v>756</v>
      </c>
      <c r="M6" s="67">
        <v>200</v>
      </c>
      <c r="O6" s="26" t="s">
        <v>757</v>
      </c>
      <c r="P6" s="67">
        <v>100</v>
      </c>
      <c r="W6" s="219"/>
      <c r="Z6" s="219"/>
    </row>
    <row r="7" spans="1:34" s="31" customFormat="1">
      <c r="A7" s="182"/>
      <c r="B7" s="31" t="s">
        <v>758</v>
      </c>
      <c r="C7" s="39">
        <v>120</v>
      </c>
      <c r="D7" s="39">
        <v>80</v>
      </c>
      <c r="E7" s="42">
        <v>45631</v>
      </c>
      <c r="F7" s="40">
        <v>84</v>
      </c>
      <c r="G7" s="40">
        <v>50</v>
      </c>
      <c r="H7" s="40">
        <v>21</v>
      </c>
      <c r="I7" s="40">
        <v>40</v>
      </c>
      <c r="J7" s="40">
        <f>SUM(F7:I7)</f>
        <v>195</v>
      </c>
      <c r="K7" s="40" t="str">
        <f>IF(J7&gt;$J$13,"▲","▼")&amp;TEXT(J7-$J$13,"0")</f>
        <v>▼-32</v>
      </c>
      <c r="L7" s="41"/>
      <c r="M7" s="66"/>
      <c r="N7" s="175"/>
      <c r="O7" s="41"/>
      <c r="P7" s="66"/>
      <c r="Q7" s="175"/>
      <c r="S7" s="66"/>
      <c r="T7" s="175"/>
      <c r="V7" s="66"/>
      <c r="W7" s="219"/>
      <c r="Y7" s="66"/>
      <c r="Z7" s="219"/>
    </row>
    <row r="8" spans="1:34" s="31" customFormat="1">
      <c r="A8" s="182"/>
      <c r="B8" s="31" t="s">
        <v>759</v>
      </c>
      <c r="C8" s="39">
        <v>190</v>
      </c>
      <c r="D8" s="39">
        <v>114</v>
      </c>
      <c r="E8" s="42">
        <v>45624</v>
      </c>
      <c r="F8" s="40">
        <v>5</v>
      </c>
      <c r="G8" s="40">
        <v>3</v>
      </c>
      <c r="H8" s="40">
        <v>97</v>
      </c>
      <c r="I8" s="40">
        <v>67</v>
      </c>
      <c r="J8" s="40">
        <f t="shared" ref="J8:J12" si="0">SUM(F8:I8)</f>
        <v>172</v>
      </c>
      <c r="K8" s="40" t="str">
        <f t="shared" ref="K8:K13" si="1">IF(J8&gt;$J$13,"▲","▼")&amp;TEXT(J8-$J$13,"0")</f>
        <v>▼-55</v>
      </c>
      <c r="L8" s="41"/>
      <c r="M8" s="66"/>
      <c r="N8" s="175"/>
      <c r="O8" s="41"/>
      <c r="P8" s="66"/>
      <c r="Q8" s="175"/>
      <c r="S8" s="66"/>
      <c r="T8" s="175"/>
      <c r="V8" s="66"/>
      <c r="W8" s="219"/>
      <c r="Y8" s="66"/>
      <c r="Z8" s="219"/>
    </row>
    <row r="9" spans="1:34" s="31" customFormat="1">
      <c r="A9" s="182"/>
      <c r="B9" s="31" t="s">
        <v>760</v>
      </c>
      <c r="C9" s="39">
        <v>280</v>
      </c>
      <c r="D9" s="39">
        <v>168</v>
      </c>
      <c r="E9" s="42">
        <v>45550</v>
      </c>
      <c r="F9" s="40">
        <v>98</v>
      </c>
      <c r="G9" s="40">
        <v>73</v>
      </c>
      <c r="H9" s="40">
        <v>47</v>
      </c>
      <c r="I9" s="40">
        <v>40</v>
      </c>
      <c r="J9" s="40">
        <f t="shared" si="0"/>
        <v>258</v>
      </c>
      <c r="K9" s="40" t="str">
        <f t="shared" si="1"/>
        <v>▲31</v>
      </c>
      <c r="L9" s="41"/>
      <c r="M9" s="66"/>
      <c r="N9" s="175"/>
      <c r="O9" s="41"/>
      <c r="P9" s="66"/>
      <c r="Q9" s="175"/>
      <c r="S9" s="66"/>
      <c r="T9" s="175"/>
      <c r="V9" s="66"/>
      <c r="W9" s="219"/>
      <c r="Y9" s="66"/>
      <c r="Z9" s="219"/>
    </row>
    <row r="10" spans="1:34" s="31" customFormat="1">
      <c r="A10" s="182"/>
      <c r="B10" s="31" t="s">
        <v>761</v>
      </c>
      <c r="C10" s="39">
        <v>150</v>
      </c>
      <c r="D10" s="39">
        <v>99</v>
      </c>
      <c r="E10" s="42">
        <v>45585</v>
      </c>
      <c r="F10" s="40">
        <v>47</v>
      </c>
      <c r="G10" s="40">
        <v>33</v>
      </c>
      <c r="H10" s="40">
        <v>89</v>
      </c>
      <c r="I10" s="40">
        <v>62</v>
      </c>
      <c r="J10" s="40">
        <f t="shared" si="0"/>
        <v>231</v>
      </c>
      <c r="K10" s="40" t="str">
        <f t="shared" si="1"/>
        <v>▲4</v>
      </c>
      <c r="L10" s="41"/>
      <c r="M10" s="66"/>
      <c r="N10" s="175"/>
      <c r="O10" s="41"/>
      <c r="P10" s="66"/>
      <c r="Q10" s="175"/>
      <c r="S10" s="66"/>
      <c r="T10" s="175"/>
      <c r="V10" s="66"/>
      <c r="W10" s="219"/>
      <c r="Y10" s="66"/>
      <c r="Z10" s="219"/>
    </row>
    <row r="11" spans="1:34" s="31" customFormat="1">
      <c r="A11" s="183"/>
      <c r="B11" s="31" t="s">
        <v>762</v>
      </c>
      <c r="C11" s="39">
        <v>189</v>
      </c>
      <c r="D11" s="39">
        <v>109</v>
      </c>
      <c r="E11" s="42">
        <v>45628</v>
      </c>
      <c r="F11" s="40">
        <v>49</v>
      </c>
      <c r="G11" s="40">
        <v>44</v>
      </c>
      <c r="H11" s="40">
        <v>51</v>
      </c>
      <c r="I11" s="40">
        <v>97</v>
      </c>
      <c r="J11" s="40">
        <f t="shared" si="0"/>
        <v>241</v>
      </c>
      <c r="K11" s="40" t="str">
        <f t="shared" si="1"/>
        <v>▲14</v>
      </c>
      <c r="L11" s="41"/>
      <c r="M11" s="66"/>
      <c r="N11" s="175"/>
      <c r="O11" s="41"/>
      <c r="P11" s="66"/>
      <c r="Q11" s="175"/>
      <c r="S11" s="66"/>
      <c r="T11" s="175"/>
      <c r="V11" s="66"/>
      <c r="W11" s="219"/>
      <c r="Y11" s="66"/>
      <c r="Z11" s="219"/>
    </row>
    <row r="12" spans="1:34" s="31" customFormat="1">
      <c r="A12" s="182"/>
      <c r="B12" s="31" t="s">
        <v>763</v>
      </c>
      <c r="C12" s="39">
        <v>410</v>
      </c>
      <c r="D12" s="39">
        <v>249</v>
      </c>
      <c r="E12" s="42">
        <v>45541</v>
      </c>
      <c r="F12" s="40">
        <v>83</v>
      </c>
      <c r="G12" s="40">
        <v>83</v>
      </c>
      <c r="H12" s="40">
        <v>33</v>
      </c>
      <c r="I12" s="40">
        <v>68</v>
      </c>
      <c r="J12" s="40">
        <f t="shared" si="0"/>
        <v>267</v>
      </c>
      <c r="K12" s="40" t="str">
        <f t="shared" si="1"/>
        <v>▲40</v>
      </c>
      <c r="L12" s="41"/>
      <c r="M12" s="66"/>
      <c r="N12" s="175"/>
      <c r="O12" s="41"/>
      <c r="P12" s="66"/>
      <c r="Q12" s="175"/>
      <c r="S12" s="66"/>
      <c r="T12" s="175"/>
      <c r="V12" s="66"/>
      <c r="W12" s="219"/>
      <c r="Y12" s="66"/>
      <c r="Z12" s="219"/>
    </row>
    <row r="13" spans="1:34">
      <c r="I13" s="11"/>
      <c r="J13" s="7">
        <f>AVERAGE(J7:J12)</f>
        <v>227.33333333333334</v>
      </c>
      <c r="W13" s="219"/>
      <c r="Z13" s="219"/>
    </row>
    <row r="14" spans="1:34" ht="24" thickBot="1">
      <c r="B14" s="234" t="str" cm="1">
        <f t="array" ref="B14">TranslateMe(184)</f>
        <v>Logical tests</v>
      </c>
      <c r="C14" s="234"/>
      <c r="D14" s="234"/>
      <c r="E14" s="234"/>
      <c r="F14" s="234"/>
      <c r="G14" s="234"/>
      <c r="H14" s="234"/>
      <c r="W14" s="219"/>
      <c r="Z14" s="219"/>
    </row>
    <row r="15" spans="1:34" ht="18.600000000000001" thickBot="1">
      <c r="A15" s="184"/>
      <c r="B15" s="150" t="s">
        <v>1043</v>
      </c>
      <c r="C15" s="150" t="s">
        <v>1044</v>
      </c>
      <c r="D15" s="230" t="str">
        <f ca="1">_xlfn.FORMULATEXT(D16)</f>
        <v>=AND(B16;C16)</v>
      </c>
      <c r="E15" s="231"/>
      <c r="F15" s="232" t="str">
        <f ca="1">_xlfn.FORMULATEXT(F16)</f>
        <v>=OR(B16;C16)</v>
      </c>
      <c r="G15" s="233"/>
      <c r="H15" s="218" t="str">
        <f ca="1">_xlfn.FORMULATEXT(H16)</f>
        <v>=XOR(B16;C16)</v>
      </c>
      <c r="O15" s="25"/>
      <c r="W15" s="219"/>
      <c r="Z15" s="219"/>
    </row>
    <row r="16" spans="1:34" ht="18">
      <c r="B16" s="35" t="b">
        <f>1&gt;0</f>
        <v>1</v>
      </c>
      <c r="C16" s="35" t="b">
        <f>1&lt;2</f>
        <v>1</v>
      </c>
      <c r="D16" s="207" t="b">
        <f>AND(B16,C16)</f>
        <v>1</v>
      </c>
      <c r="E16" s="208" t="s">
        <v>1045</v>
      </c>
      <c r="F16" s="214" t="b">
        <f>OR(B16,C16)</f>
        <v>1</v>
      </c>
      <c r="G16" s="214" t="s">
        <v>1049</v>
      </c>
      <c r="H16" s="217" t="b">
        <f>_xlfn.XOR(B16,C16)</f>
        <v>0</v>
      </c>
      <c r="W16" s="219"/>
      <c r="Z16" s="219"/>
    </row>
    <row r="17" spans="1:27" ht="18">
      <c r="B17" s="36" t="b">
        <v>1</v>
      </c>
      <c r="C17" s="35" t="b">
        <v>0</v>
      </c>
      <c r="D17" s="209" t="b">
        <f t="shared" ref="D17:D19" si="2">AND(B17,C17)</f>
        <v>0</v>
      </c>
      <c r="E17" s="210" t="s">
        <v>1046</v>
      </c>
      <c r="F17" s="215" t="b">
        <f t="shared" ref="F17:F19" si="3">OR(B17,C17)</f>
        <v>1</v>
      </c>
      <c r="G17" s="215" t="s">
        <v>1050</v>
      </c>
      <c r="H17" s="216" t="b">
        <f t="shared" ref="H17:H19" si="4">_xlfn.XOR(B17,C17)</f>
        <v>1</v>
      </c>
      <c r="W17" s="219"/>
      <c r="Z17" s="219"/>
    </row>
    <row r="18" spans="1:27" ht="18.600000000000001" thickBot="1">
      <c r="B18" s="35" t="b">
        <v>0</v>
      </c>
      <c r="C18" s="35" t="b">
        <v>0</v>
      </c>
      <c r="D18" s="211" t="b">
        <f t="shared" si="2"/>
        <v>0</v>
      </c>
      <c r="E18" s="210" t="s">
        <v>1047</v>
      </c>
      <c r="F18" s="215" t="b">
        <f t="shared" si="3"/>
        <v>0</v>
      </c>
      <c r="G18" s="215" t="s">
        <v>1051</v>
      </c>
      <c r="H18" s="216" t="b">
        <f t="shared" si="4"/>
        <v>0</v>
      </c>
      <c r="W18" s="219"/>
      <c r="Z18" s="219"/>
    </row>
    <row r="19" spans="1:27" ht="18.600000000000001" thickBot="1">
      <c r="B19" s="35" t="b">
        <v>0</v>
      </c>
      <c r="C19" s="206" t="b">
        <v>1</v>
      </c>
      <c r="D19" s="212" t="b">
        <f t="shared" si="2"/>
        <v>0</v>
      </c>
      <c r="E19" s="213" t="s">
        <v>1048</v>
      </c>
      <c r="F19" s="215" t="b">
        <f t="shared" si="3"/>
        <v>1</v>
      </c>
      <c r="G19" s="215" t="s">
        <v>1052</v>
      </c>
      <c r="H19" s="216" t="b">
        <f t="shared" si="4"/>
        <v>1</v>
      </c>
      <c r="W19" s="219"/>
      <c r="Z19" s="219"/>
    </row>
    <row r="20" spans="1:27">
      <c r="W20" s="219"/>
      <c r="Z20" s="219"/>
    </row>
    <row r="21" spans="1:27">
      <c r="W21" s="219"/>
      <c r="Z21" s="219"/>
    </row>
    <row r="22" spans="1:27">
      <c r="M22" s="69"/>
      <c r="W22" s="219"/>
      <c r="Z22" s="219"/>
    </row>
    <row r="23" spans="1:27">
      <c r="W23" s="219"/>
      <c r="Z23" s="219"/>
    </row>
    <row r="24" spans="1:27">
      <c r="W24" s="219"/>
      <c r="Z24" s="219"/>
    </row>
    <row r="25" spans="1:27" ht="18">
      <c r="B25" s="150" t="str" cm="1">
        <f t="array" ref="B25">TranslateMe(179)</f>
        <v>Products</v>
      </c>
      <c r="C25" s="150" t="str" cm="1">
        <f t="array" ref="C25">TranslateMe(180)</f>
        <v>Unit price</v>
      </c>
      <c r="D25" s="150" t="str" cm="1">
        <f t="array" ref="D25">TranslateMe(181)</f>
        <v>cost</v>
      </c>
      <c r="E25" s="150" t="str" cm="1">
        <f t="array" ref="E25">TranslateMe(182)</f>
        <v>Last sale</v>
      </c>
      <c r="F25" s="150" t="str" cm="1">
        <f t="array" ref="F25">TranslateMe(183)&amp;"1"</f>
        <v>Qty1</v>
      </c>
      <c r="G25" s="150" t="str" cm="1">
        <f t="array" ref="G25">TranslateMe(183)&amp;"2"</f>
        <v>Qty2</v>
      </c>
      <c r="H25" s="150" t="str" cm="1">
        <f t="array" ref="H25">TranslateMe(183)&amp;"3"</f>
        <v>Qty3</v>
      </c>
      <c r="I25" s="150" t="str" cm="1">
        <f t="array" ref="I25">TranslateMe(183)&amp;"4"</f>
        <v>Qty4</v>
      </c>
      <c r="J25" s="150" t="s">
        <v>1066</v>
      </c>
      <c r="K25" s="240" t="str">
        <f>"Δ "</f>
        <v xml:space="preserve">Δ </v>
      </c>
      <c r="L25" s="26" t="s">
        <v>754</v>
      </c>
      <c r="M25" s="67">
        <v>100</v>
      </c>
      <c r="O25" s="26" t="s">
        <v>755</v>
      </c>
      <c r="P25" s="67">
        <v>300</v>
      </c>
      <c r="R25" s="25" t="str">
        <f ca="1">_xlfn.FORMULATEXT(R27)</f>
        <v>=AND(B27&gt;"S*";B27&lt;"t*")</v>
      </c>
      <c r="U25" s="25" t="str">
        <f ca="1">_xlfn.FORMULATEXT(U27)</f>
        <v>=OR($C27&lt;200;$D27&lt;100)</v>
      </c>
      <c r="V25" s="68"/>
      <c r="W25" s="219"/>
      <c r="X25" s="25" t="str">
        <f ca="1">_xlfn.FORMULATEXT(X27)</f>
        <v>=XOR($C27&lt;200;$D27&lt;100)</v>
      </c>
      <c r="Z25" s="219"/>
      <c r="AA25" s="25" t="str">
        <f ca="1">_xlfn.FORMULATEXT(AA27)</f>
        <v>=IFS(LEFT(B27;1)="s";"Starts with S";C27&gt;200;"Unit Price &gt;200";D27&lt;100;"Cost &lt; 100";1;"")</v>
      </c>
    </row>
    <row r="26" spans="1:27">
      <c r="L26" s="26" t="s">
        <v>756</v>
      </c>
      <c r="M26" s="67">
        <v>200</v>
      </c>
      <c r="O26" s="26" t="s">
        <v>757</v>
      </c>
      <c r="P26" s="67">
        <v>100</v>
      </c>
      <c r="W26" s="219"/>
      <c r="Z26" s="219"/>
    </row>
    <row r="27" spans="1:27" s="31" customFormat="1">
      <c r="A27" s="182"/>
      <c r="B27" s="31" t="s">
        <v>758</v>
      </c>
      <c r="C27" s="39">
        <v>120</v>
      </c>
      <c r="D27" s="39">
        <v>80</v>
      </c>
      <c r="E27" s="42">
        <v>45631</v>
      </c>
      <c r="F27" s="40">
        <v>84</v>
      </c>
      <c r="G27" s="40">
        <v>50</v>
      </c>
      <c r="H27" s="40">
        <v>21</v>
      </c>
      <c r="I27" s="40">
        <v>40</v>
      </c>
      <c r="J27" s="40">
        <f>SUM(F27:I27)</f>
        <v>195</v>
      </c>
      <c r="K27" s="40" t="str">
        <f>IF(J27&gt;$J$13,"▲","▼")&amp;TEXT(J27-$J$13,"0")</f>
        <v>▼-32</v>
      </c>
      <c r="L27" s="41" t="str">
        <f>IF(AND(D27&gt;$M$5,D27&lt;$M$6),"√","")</f>
        <v/>
      </c>
      <c r="M27" s="66"/>
      <c r="N27" s="175"/>
      <c r="O27" s="41" t="str">
        <f>IF(OR(J27&gt;$P$5,D27&lt;$P$6),"√","")</f>
        <v>√</v>
      </c>
      <c r="P27" s="66"/>
      <c r="Q27" s="175"/>
      <c r="R27" s="31" t="b">
        <f>AND(B27&gt;"S*",B27&lt;"t*")</f>
        <v>1</v>
      </c>
      <c r="S27" s="66"/>
      <c r="T27" s="175"/>
      <c r="U27" s="31" t="b">
        <f>OR($C27&lt;200,$D27&lt;100)</f>
        <v>1</v>
      </c>
      <c r="V27" s="66"/>
      <c r="W27" s="219"/>
      <c r="X27" s="31" t="b">
        <f>_xlfn.XOR($C27&lt;200,$D27&lt;100)</f>
        <v>0</v>
      </c>
      <c r="Y27" s="66"/>
      <c r="Z27" s="219"/>
      <c r="AA27" s="31" t="str" cm="1">
        <f t="array" ref="AA27">_xlfn.IFS(LEFT(B27,1)="s","Starts with S",C27&gt;200,"Unit Price &gt;200",D27&lt;100,"Cost &lt; 100",1,"")</f>
        <v>Starts with S</v>
      </c>
    </row>
    <row r="28" spans="1:27" s="31" customFormat="1">
      <c r="A28" s="182"/>
      <c r="B28" s="31" t="s">
        <v>759</v>
      </c>
      <c r="C28" s="39">
        <v>190</v>
      </c>
      <c r="D28" s="39">
        <v>114</v>
      </c>
      <c r="E28" s="42">
        <v>45624</v>
      </c>
      <c r="F28" s="40">
        <v>5</v>
      </c>
      <c r="G28" s="40">
        <v>3</v>
      </c>
      <c r="H28" s="40">
        <v>97</v>
      </c>
      <c r="I28" s="40">
        <v>67</v>
      </c>
      <c r="J28" s="40">
        <f t="shared" ref="J28:J32" si="5">SUM(F28:I28)</f>
        <v>172</v>
      </c>
      <c r="K28" s="40" t="str">
        <f t="shared" ref="K28:K32" si="6">IF(J28&gt;$J$13,"▲","▼")&amp;TEXT(J28-$J$13,"0")</f>
        <v>▼-55</v>
      </c>
      <c r="L28" s="41" t="str">
        <f t="shared" ref="L28:L32" si="7">IF(AND(D28&gt;$M$5,D28&lt;$M$6),"√","")</f>
        <v>√</v>
      </c>
      <c r="M28" s="66"/>
      <c r="N28" s="175"/>
      <c r="O28" s="41" t="str">
        <f t="shared" ref="O28:O32" si="8">IF(OR(J28&gt;$P$5,D28&lt;$P$6),"√","")</f>
        <v/>
      </c>
      <c r="P28" s="66"/>
      <c r="Q28" s="175"/>
      <c r="R28" s="31" t="b">
        <f t="shared" ref="R28:R32" si="9">AND(B28&gt;"S*",B28&lt;"t*")</f>
        <v>1</v>
      </c>
      <c r="S28" s="66"/>
      <c r="T28" s="175"/>
      <c r="U28" s="31" t="b">
        <f>OR($C28&lt;200,$D28&lt;100)</f>
        <v>1</v>
      </c>
      <c r="V28" s="66"/>
      <c r="W28" s="219"/>
      <c r="X28" s="31" t="b">
        <f t="shared" ref="X28:X32" si="10">_xlfn.XOR($C28&lt;200,$D28&lt;100)</f>
        <v>1</v>
      </c>
      <c r="Y28" s="66"/>
      <c r="Z28" s="219"/>
      <c r="AA28" s="31" t="str" cm="1">
        <f t="array" ref="AA28">_xlfn.IFS(LEFT(B28,1)="s","Starts with S",C28&gt;200,"Unit Price &gt;200",D28&lt;100,"Cost &lt; 100",1,"")</f>
        <v>Starts with S</v>
      </c>
    </row>
    <row r="29" spans="1:27" s="31" customFormat="1">
      <c r="A29" s="182"/>
      <c r="B29" s="31" t="s">
        <v>760</v>
      </c>
      <c r="C29" s="39">
        <v>280</v>
      </c>
      <c r="D29" s="39">
        <v>168</v>
      </c>
      <c r="E29" s="42">
        <v>45550</v>
      </c>
      <c r="F29" s="40">
        <v>98</v>
      </c>
      <c r="G29" s="40">
        <v>73</v>
      </c>
      <c r="H29" s="40">
        <v>47</v>
      </c>
      <c r="I29" s="40">
        <v>40</v>
      </c>
      <c r="J29" s="40">
        <f t="shared" si="5"/>
        <v>258</v>
      </c>
      <c r="K29" s="40" t="str">
        <f t="shared" si="6"/>
        <v>▲31</v>
      </c>
      <c r="L29" s="41" t="str">
        <f t="shared" si="7"/>
        <v>√</v>
      </c>
      <c r="M29" s="66"/>
      <c r="N29" s="175"/>
      <c r="O29" s="41" t="str">
        <f t="shared" si="8"/>
        <v/>
      </c>
      <c r="P29" s="66"/>
      <c r="Q29" s="175"/>
      <c r="R29" s="31" t="b">
        <f t="shared" si="9"/>
        <v>1</v>
      </c>
      <c r="S29" s="66"/>
      <c r="T29" s="175"/>
      <c r="U29" s="31" t="b">
        <f t="shared" ref="U29:U32" si="11">OR($C29&lt;200,$D29&lt;100)</f>
        <v>0</v>
      </c>
      <c r="V29" s="66"/>
      <c r="W29" s="219"/>
      <c r="X29" s="31" t="b">
        <f t="shared" si="10"/>
        <v>0</v>
      </c>
      <c r="Y29" s="66"/>
      <c r="Z29" s="219"/>
      <c r="AA29" s="31" t="str" cm="1">
        <f t="array" ref="AA29">_xlfn.IFS(LEFT(B29,1)="s","Starts with S",C29&gt;200,"Unit Price &gt;200",D29&lt;100,"Cost &lt; 100",1,"")</f>
        <v>Starts with S</v>
      </c>
    </row>
    <row r="30" spans="1:27" s="31" customFormat="1">
      <c r="A30" s="182"/>
      <c r="B30" s="31" t="s">
        <v>761</v>
      </c>
      <c r="C30" s="39">
        <v>150</v>
      </c>
      <c r="D30" s="39">
        <v>99</v>
      </c>
      <c r="E30" s="42">
        <v>45585</v>
      </c>
      <c r="F30" s="40">
        <v>47</v>
      </c>
      <c r="G30" s="40">
        <v>33</v>
      </c>
      <c r="H30" s="40">
        <v>89</v>
      </c>
      <c r="I30" s="40">
        <v>62</v>
      </c>
      <c r="J30" s="40">
        <f t="shared" si="5"/>
        <v>231</v>
      </c>
      <c r="K30" s="40" t="str">
        <f t="shared" si="6"/>
        <v>▲4</v>
      </c>
      <c r="L30" s="41" t="str">
        <f t="shared" si="7"/>
        <v/>
      </c>
      <c r="M30" s="66"/>
      <c r="N30" s="175"/>
      <c r="O30" s="41" t="str">
        <f t="shared" si="8"/>
        <v>√</v>
      </c>
      <c r="P30" s="66"/>
      <c r="Q30" s="175"/>
      <c r="R30" s="31" t="b">
        <f t="shared" si="9"/>
        <v>0</v>
      </c>
      <c r="S30" s="66"/>
      <c r="T30" s="175"/>
      <c r="U30" s="31" t="b">
        <f t="shared" si="11"/>
        <v>1</v>
      </c>
      <c r="V30" s="66"/>
      <c r="W30" s="219"/>
      <c r="X30" s="31" t="b">
        <f>_xlfn.XOR($C30&lt;200,$D30&lt;100)</f>
        <v>0</v>
      </c>
      <c r="Y30" s="66"/>
      <c r="Z30" s="219"/>
      <c r="AA30" s="31" t="str" cm="1">
        <f t="array" ref="AA30">_xlfn.IFS(LEFT(B30,1)="s","Starts with S",C30&gt;200,"Unit Price &gt;200",D30&lt;100,"Cost &lt; 100",1,"")</f>
        <v>Cost &lt; 100</v>
      </c>
    </row>
    <row r="31" spans="1:27" s="31" customFormat="1">
      <c r="A31" s="183"/>
      <c r="B31" s="31" t="s">
        <v>762</v>
      </c>
      <c r="C31" s="39">
        <v>189</v>
      </c>
      <c r="D31" s="39">
        <v>109</v>
      </c>
      <c r="E31" s="42">
        <v>45628</v>
      </c>
      <c r="F31" s="40">
        <v>49</v>
      </c>
      <c r="G31" s="40">
        <v>44</v>
      </c>
      <c r="H31" s="40">
        <v>51</v>
      </c>
      <c r="I31" s="40">
        <v>97</v>
      </c>
      <c r="J31" s="40">
        <f t="shared" si="5"/>
        <v>241</v>
      </c>
      <c r="K31" s="40" t="str">
        <f t="shared" si="6"/>
        <v>▲14</v>
      </c>
      <c r="L31" s="41" t="str">
        <f t="shared" si="7"/>
        <v>√</v>
      </c>
      <c r="M31" s="66"/>
      <c r="N31" s="175"/>
      <c r="O31" s="41" t="str">
        <f t="shared" si="8"/>
        <v/>
      </c>
      <c r="P31" s="66"/>
      <c r="Q31" s="175"/>
      <c r="R31" s="31" t="b">
        <f t="shared" si="9"/>
        <v>0</v>
      </c>
      <c r="S31" s="66"/>
      <c r="T31" s="175"/>
      <c r="U31" s="31" t="b">
        <f t="shared" si="11"/>
        <v>1</v>
      </c>
      <c r="V31" s="66"/>
      <c r="W31" s="219"/>
      <c r="X31" s="31" t="b">
        <f t="shared" ref="X31:X32" si="12">_xlfn.XOR($C31&lt;200,$D31&lt;100)</f>
        <v>1</v>
      </c>
      <c r="Y31" s="66"/>
      <c r="Z31" s="219"/>
      <c r="AA31" s="31" t="str" cm="1">
        <f t="array" ref="AA31">_xlfn.IFS(LEFT(B31,1)="s","Starts with S",C31&gt;200,"Unit Price &gt;200",D31&lt;100,"Cost &lt; 100",1,"")</f>
        <v/>
      </c>
    </row>
    <row r="32" spans="1:27" s="31" customFormat="1">
      <c r="A32" s="182"/>
      <c r="B32" s="31" t="s">
        <v>763</v>
      </c>
      <c r="C32" s="39">
        <v>410</v>
      </c>
      <c r="D32" s="39">
        <v>249</v>
      </c>
      <c r="E32" s="42">
        <v>45541</v>
      </c>
      <c r="F32" s="40">
        <v>83</v>
      </c>
      <c r="G32" s="40">
        <v>83</v>
      </c>
      <c r="H32" s="40">
        <v>33</v>
      </c>
      <c r="I32" s="40">
        <v>68</v>
      </c>
      <c r="J32" s="40">
        <f t="shared" si="5"/>
        <v>267</v>
      </c>
      <c r="K32" s="40" t="str">
        <f t="shared" si="6"/>
        <v>▲40</v>
      </c>
      <c r="L32" s="41" t="str">
        <f t="shared" si="7"/>
        <v/>
      </c>
      <c r="M32" s="66"/>
      <c r="N32" s="175"/>
      <c r="O32" s="41" t="str">
        <f t="shared" si="8"/>
        <v/>
      </c>
      <c r="P32" s="66"/>
      <c r="Q32" s="175"/>
      <c r="R32" s="31" t="b">
        <f t="shared" si="9"/>
        <v>0</v>
      </c>
      <c r="S32" s="66"/>
      <c r="T32" s="175"/>
      <c r="U32" s="31" t="b">
        <f t="shared" si="11"/>
        <v>0</v>
      </c>
      <c r="V32" s="66"/>
      <c r="W32" s="219"/>
      <c r="X32" s="31" t="b">
        <f t="shared" si="12"/>
        <v>0</v>
      </c>
      <c r="Y32" s="66"/>
      <c r="Z32" s="219"/>
      <c r="AA32" s="31" t="str" cm="1">
        <f t="array" ref="AA32">_xlfn.IFS(LEFT(B32,1)="s","Starts with S",C32&gt;200,"Unit Price &gt;200",D32&lt;100,"Cost &lt; 100",1,"")</f>
        <v>Unit Price &gt;200</v>
      </c>
    </row>
    <row r="33" spans="12:26" ht="18">
      <c r="L33" s="94" t="str">
        <f ca="1">_xlfn.FORMULATEXT($L$27)</f>
        <v>=IF(AND(D27&gt;$M$5;D27&lt;$M$6);"√";"")</v>
      </c>
      <c r="W33" s="219"/>
      <c r="Z33" s="219"/>
    </row>
    <row r="34" spans="12:26" ht="18">
      <c r="L34" s="94"/>
      <c r="O34" s="94" t="e">
        <f ca="1">_xlfn.FORMULATEXT(O7)</f>
        <v>#N/A</v>
      </c>
      <c r="W34" s="219"/>
      <c r="Z34" s="219"/>
    </row>
    <row r="35" spans="12:26">
      <c r="W35" s="219"/>
      <c r="Z35" s="219"/>
    </row>
    <row r="36" spans="12:26">
      <c r="W36" s="219"/>
      <c r="Z36" s="219"/>
    </row>
    <row r="37" spans="12:26">
      <c r="W37" s="219"/>
      <c r="Z37" s="219"/>
    </row>
    <row r="38" spans="12:26">
      <c r="W38" s="219"/>
      <c r="Z38" s="219"/>
    </row>
    <row r="39" spans="12:26">
      <c r="W39" s="219"/>
      <c r="Z39" s="219"/>
    </row>
    <row r="40" spans="12:26">
      <c r="W40" s="219"/>
      <c r="Z40" s="219"/>
    </row>
    <row r="41" spans="12:26">
      <c r="W41" s="219"/>
      <c r="Z41" s="219"/>
    </row>
    <row r="42" spans="12:26">
      <c r="W42" s="219"/>
      <c r="Z42" s="219"/>
    </row>
    <row r="43" spans="12:26">
      <c r="W43" s="219"/>
      <c r="Z43" s="219"/>
    </row>
    <row r="44" spans="12:26">
      <c r="W44" s="219"/>
      <c r="Z44" s="219"/>
    </row>
    <row r="45" spans="12:26">
      <c r="W45" s="219"/>
      <c r="Z45" s="219"/>
    </row>
    <row r="46" spans="12:26">
      <c r="W46" s="219"/>
      <c r="Z46" s="219"/>
    </row>
    <row r="47" spans="12:26">
      <c r="W47" s="219"/>
      <c r="Z47" s="219"/>
    </row>
    <row r="48" spans="12:26">
      <c r="W48" s="219"/>
      <c r="Z48" s="219"/>
    </row>
    <row r="49" spans="2:26">
      <c r="W49" s="219"/>
      <c r="Z49" s="219"/>
    </row>
    <row r="50" spans="2:26">
      <c r="W50" s="219"/>
      <c r="Z50" s="219"/>
    </row>
    <row r="51" spans="2:26">
      <c r="W51" s="219"/>
      <c r="Z51" s="219"/>
    </row>
    <row r="52" spans="2:26">
      <c r="W52" s="219"/>
      <c r="Z52" s="219"/>
    </row>
    <row r="53" spans="2:26">
      <c r="W53" s="219"/>
      <c r="Z53" s="219"/>
    </row>
    <row r="54" spans="2:26">
      <c r="B54" s="38" t="s">
        <v>764</v>
      </c>
      <c r="W54" s="219"/>
      <c r="Z54" s="219"/>
    </row>
  </sheetData>
  <protectedRanges>
    <protectedRange sqref="F6:I12 F26:I32" name="Plage1"/>
  </protectedRanges>
  <mergeCells count="11">
    <mergeCell ref="AA4:AH4"/>
    <mergeCell ref="D15:E15"/>
    <mergeCell ref="F15:G15"/>
    <mergeCell ref="B14:H14"/>
    <mergeCell ref="L4:M4"/>
    <mergeCell ref="O4:P4"/>
    <mergeCell ref="A1:J2"/>
    <mergeCell ref="K1:M2"/>
    <mergeCell ref="R4:S4"/>
    <mergeCell ref="U4:V4"/>
    <mergeCell ref="X4:Y4"/>
  </mergeCells>
  <phoneticPr fontId="2" type="noConversion"/>
  <conditionalFormatting sqref="K7:K12">
    <cfRule type="expression" dxfId="11" priority="3">
      <formula>$J7&lt;$J$13</formula>
    </cfRule>
    <cfRule type="expression" dxfId="10" priority="4">
      <formula>$J7&gt;$J$13</formula>
    </cfRule>
  </conditionalFormatting>
  <conditionalFormatting sqref="K27:K32">
    <cfRule type="expression" dxfId="9" priority="1">
      <formula>$J27&lt;$J$13</formula>
    </cfRule>
    <cfRule type="expression" dxfId="8" priority="2">
      <formula>$J27&gt;$J$13</formula>
    </cfRule>
  </conditionalFormatting>
  <pageMargins left="0.7" right="0.7" top="0.75" bottom="0.75" header="0.3" footer="0.3"/>
  <pageSetup paperSize="9" orientation="portrait" r:id="rId1"/>
  <ignoredErrors>
    <ignoredError sqref="J7:J12"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88F57-E4B3-4829-B981-974FCA021638}">
  <sheetPr codeName="Feuil1">
    <tabColor theme="7"/>
  </sheetPr>
  <dimension ref="A1:W126"/>
  <sheetViews>
    <sheetView topLeftCell="D1" workbookViewId="0">
      <selection activeCell="K5" sqref="K5:K6"/>
    </sheetView>
  </sheetViews>
  <sheetFormatPr defaultColWidth="11.44140625" defaultRowHeight="14.4"/>
  <cols>
    <col min="2" max="2" width="15.44140625" customWidth="1"/>
    <col min="3" max="3" width="16.33203125" bestFit="1" customWidth="1"/>
    <col min="4" max="4" width="13.5546875" customWidth="1"/>
    <col min="5" max="5" width="10.33203125" customWidth="1"/>
    <col min="6" max="6" width="10.33203125" style="17" customWidth="1"/>
    <col min="7" max="7" width="10.5546875" bestFit="1" customWidth="1"/>
    <col min="8" max="8" width="16.44140625" bestFit="1" customWidth="1"/>
    <col min="9" max="9" width="16.33203125" customWidth="1"/>
    <col min="10" max="10" width="15.88671875" customWidth="1"/>
    <col min="11" max="11" width="8.44140625" bestFit="1" customWidth="1"/>
    <col min="12" max="12" width="14.44140625" bestFit="1" customWidth="1"/>
    <col min="13" max="13" width="14.44140625" customWidth="1"/>
    <col min="14" max="14" width="11.6640625" customWidth="1"/>
    <col min="15" max="15" width="15.88671875" customWidth="1"/>
    <col min="16" max="16" width="9.33203125" bestFit="1" customWidth="1"/>
    <col min="17" max="19" width="8.109375" bestFit="1" customWidth="1"/>
    <col min="20" max="20" width="15" bestFit="1" customWidth="1"/>
    <col min="21" max="21" width="14.44140625" bestFit="1" customWidth="1"/>
    <col min="22" max="22" width="5" bestFit="1" customWidth="1"/>
    <col min="23" max="23" width="3.6640625" bestFit="1" customWidth="1"/>
    <col min="24" max="24" width="8.109375" bestFit="1" customWidth="1"/>
  </cols>
  <sheetData>
    <row r="1" spans="1:23" s="188" customFormat="1" ht="28.5" customHeight="1">
      <c r="A1" s="241" t="str" cm="1">
        <f t="array" ref="A1">Translatefct(10,0)</f>
        <v>FILTER</v>
      </c>
      <c r="B1" s="241"/>
      <c r="C1" s="241"/>
      <c r="D1" s="190"/>
      <c r="F1" s="190"/>
      <c r="G1" s="190"/>
      <c r="H1" s="190"/>
      <c r="I1" s="190"/>
      <c r="J1" s="190"/>
      <c r="K1" s="190"/>
      <c r="L1" s="190"/>
      <c r="M1" s="190"/>
      <c r="N1" s="190"/>
      <c r="O1" s="189"/>
      <c r="Q1" s="189"/>
    </row>
    <row r="2" spans="1:23" s="188" customFormat="1" ht="21.75" customHeight="1" thickBot="1">
      <c r="A2" s="241"/>
      <c r="B2" s="241"/>
      <c r="C2" s="241"/>
      <c r="D2" s="242" t="str" cm="1">
        <f t="array" ref="D2">Translatefct(10,1)</f>
        <v>Returns an array of values that meet specified conditions.</v>
      </c>
      <c r="E2" s="190"/>
      <c r="F2" s="190"/>
      <c r="G2" s="190"/>
      <c r="H2" s="190"/>
      <c r="I2" s="191"/>
      <c r="J2" s="191"/>
      <c r="K2" s="191"/>
      <c r="L2" s="191"/>
      <c r="M2" s="191"/>
      <c r="N2" s="191"/>
      <c r="O2" s="189"/>
      <c r="Q2" s="189"/>
    </row>
    <row r="3" spans="1:23" s="186" customFormat="1" ht="12.75" customHeight="1">
      <c r="A3" s="192"/>
      <c r="M3" s="187"/>
      <c r="O3" s="187"/>
      <c r="Q3" s="187"/>
      <c r="S3" s="187"/>
      <c r="U3" s="187"/>
      <c r="W3" s="187"/>
    </row>
    <row r="5" spans="1:23" ht="15.6">
      <c r="B5" s="153" t="s">
        <v>622</v>
      </c>
      <c r="C5" s="153" t="s">
        <v>616</v>
      </c>
      <c r="D5" s="153" t="s">
        <v>790</v>
      </c>
      <c r="E5" s="153" t="s">
        <v>628</v>
      </c>
      <c r="F5" s="153" t="s">
        <v>626</v>
      </c>
      <c r="G5" s="153" t="s">
        <v>791</v>
      </c>
      <c r="H5" s="153" t="s">
        <v>792</v>
      </c>
      <c r="J5" s="153" t="str" cm="1">
        <f t="array" ref="J5">TranslateMe(170)</f>
        <v>Department</v>
      </c>
      <c r="K5" s="193" t="s">
        <v>793</v>
      </c>
      <c r="T5" s="4" t="str" cm="1">
        <f t="array" ref="T5">TranslateMe(222)</f>
        <v>Which category is  Paul Klee in ?</v>
      </c>
      <c r="U5" s="4"/>
    </row>
    <row r="6" spans="1:23" ht="18">
      <c r="B6" s="120" t="s">
        <v>794</v>
      </c>
      <c r="C6" s="121" t="s">
        <v>795</v>
      </c>
      <c r="D6" s="125">
        <v>5000</v>
      </c>
      <c r="E6" s="123">
        <v>1996</v>
      </c>
      <c r="F6" s="124" t="s">
        <v>796</v>
      </c>
      <c r="G6" s="122" t="s">
        <v>797</v>
      </c>
      <c r="H6" s="122" t="s">
        <v>444</v>
      </c>
      <c r="I6" s="99"/>
      <c r="J6" s="100" t="str" cm="1">
        <f t="array" ref="J6">"A. "&amp;TranslateMe(205)</f>
        <v>A. FILTER WITH 1 CONDITION</v>
      </c>
      <c r="K6" s="101"/>
      <c r="L6" s="101"/>
      <c r="M6" s="101"/>
      <c r="N6" s="101"/>
      <c r="O6" s="101"/>
      <c r="P6" s="101"/>
      <c r="Q6" s="101"/>
      <c r="T6" s="5" t="s">
        <v>798</v>
      </c>
      <c r="U6" s="5" t="s">
        <v>294</v>
      </c>
    </row>
    <row r="7" spans="1:23" ht="18">
      <c r="B7" s="120" t="s">
        <v>799</v>
      </c>
      <c r="C7" s="121" t="s">
        <v>800</v>
      </c>
      <c r="D7" s="125">
        <v>5200</v>
      </c>
      <c r="E7" s="123">
        <v>2001</v>
      </c>
      <c r="F7" s="124" t="s">
        <v>801</v>
      </c>
      <c r="G7" s="122" t="s">
        <v>802</v>
      </c>
      <c r="H7" s="122" t="s">
        <v>444</v>
      </c>
      <c r="I7" s="99"/>
      <c r="J7" s="25" t="str">
        <f ca="1">_xlfn.FORMULATEXT(K8)</f>
        <v>=FILTER(B6:H25;B6:B25=$K$5;"N/A")</v>
      </c>
      <c r="T7" s="5" t="s">
        <v>803</v>
      </c>
      <c r="U7" s="5" t="s">
        <v>298</v>
      </c>
    </row>
    <row r="8" spans="1:23" ht="15.6">
      <c r="B8" s="120" t="s">
        <v>804</v>
      </c>
      <c r="C8" s="121" t="s">
        <v>805</v>
      </c>
      <c r="D8" s="125">
        <v>8500</v>
      </c>
      <c r="E8" s="123">
        <v>1998</v>
      </c>
      <c r="F8" s="124" t="s">
        <v>796</v>
      </c>
      <c r="G8" s="122" t="s">
        <v>806</v>
      </c>
      <c r="H8" s="122" t="s">
        <v>436</v>
      </c>
      <c r="I8" s="99"/>
      <c r="J8" s="31"/>
      <c r="K8" s="31" t="str" cm="1">
        <f t="array" ref="K8:Q15">_xlfn._xlws.FILTER(B6:H25,B6:B25=$K$5,"N/A")</f>
        <v>Finance</v>
      </c>
      <c r="L8" s="31" t="str">
        <v>Camille Dubois</v>
      </c>
      <c r="M8" s="31">
        <v>5000</v>
      </c>
      <c r="N8" s="31">
        <v>1996</v>
      </c>
      <c r="O8" s="31" t="str">
        <v>F</v>
      </c>
      <c r="P8" s="31" t="str">
        <v>Zurich</v>
      </c>
      <c r="Q8" s="31" t="str">
        <v>Training</v>
      </c>
    </row>
    <row r="9" spans="1:23" ht="15.6">
      <c r="B9" s="120" t="s">
        <v>804</v>
      </c>
      <c r="C9" s="121" t="s">
        <v>807</v>
      </c>
      <c r="D9" s="125">
        <v>9800</v>
      </c>
      <c r="E9" s="123">
        <v>1965</v>
      </c>
      <c r="F9" s="124" t="s">
        <v>801</v>
      </c>
      <c r="G9" s="122" t="s">
        <v>802</v>
      </c>
      <c r="H9" s="122" t="s">
        <v>436</v>
      </c>
      <c r="I9" s="99"/>
      <c r="J9" s="31"/>
      <c r="K9" s="31" t="str">
        <v>Finance</v>
      </c>
      <c r="L9" s="31" t="str">
        <v>Emma Garcia</v>
      </c>
      <c r="M9" s="31">
        <v>7300</v>
      </c>
      <c r="N9" s="31">
        <v>1987</v>
      </c>
      <c r="O9" s="31" t="str">
        <v>F</v>
      </c>
      <c r="P9" s="31" t="str">
        <v>Geneva</v>
      </c>
      <c r="Q9" s="31" t="str">
        <v>Active</v>
      </c>
      <c r="T9" s="6" t="str" cm="1">
        <f t="array" ref="T9">TranslateMe(211)</f>
        <v>Don't forget the ( and ) around boolean comparisons !</v>
      </c>
    </row>
    <row r="10" spans="1:23" ht="15.6">
      <c r="B10" s="120" t="s">
        <v>794</v>
      </c>
      <c r="C10" s="121" t="s">
        <v>808</v>
      </c>
      <c r="D10" s="125">
        <v>7300</v>
      </c>
      <c r="E10" s="123">
        <v>1987</v>
      </c>
      <c r="F10" s="124" t="s">
        <v>796</v>
      </c>
      <c r="G10" s="122" t="s">
        <v>802</v>
      </c>
      <c r="H10" s="122" t="s">
        <v>436</v>
      </c>
      <c r="I10" s="99"/>
      <c r="J10" s="31"/>
      <c r="K10" s="31" t="str">
        <v>Finance</v>
      </c>
      <c r="L10" s="31" t="str">
        <v>Léa Rousseau</v>
      </c>
      <c r="M10" s="31">
        <v>4900</v>
      </c>
      <c r="N10" s="31">
        <v>1996</v>
      </c>
      <c r="O10" s="31" t="str">
        <v>ND</v>
      </c>
      <c r="P10" s="31" t="str">
        <v>Geneva</v>
      </c>
      <c r="Q10" s="31" t="str">
        <v>Active</v>
      </c>
    </row>
    <row r="11" spans="1:23" ht="15.6">
      <c r="B11" s="120" t="s">
        <v>804</v>
      </c>
      <c r="C11" s="121" t="s">
        <v>809</v>
      </c>
      <c r="D11" s="125">
        <v>10600</v>
      </c>
      <c r="E11" s="123">
        <v>1979</v>
      </c>
      <c r="F11" s="124" t="s">
        <v>801</v>
      </c>
      <c r="G11" s="122" t="s">
        <v>806</v>
      </c>
      <c r="H11" s="122" t="s">
        <v>436</v>
      </c>
      <c r="I11" s="99"/>
      <c r="J11" s="31"/>
      <c r="K11" s="31" t="str">
        <v>Finance</v>
      </c>
      <c r="L11" s="31" t="str">
        <v>Nathan Leroy</v>
      </c>
      <c r="M11" s="31">
        <v>11750</v>
      </c>
      <c r="N11" s="31">
        <v>2005</v>
      </c>
      <c r="O11" s="31" t="str">
        <v>F</v>
      </c>
      <c r="P11" s="31" t="str">
        <v>Zurich</v>
      </c>
      <c r="Q11" s="31" t="str">
        <v>Active</v>
      </c>
    </row>
    <row r="12" spans="1:23" ht="15.6">
      <c r="B12" s="120" t="s">
        <v>794</v>
      </c>
      <c r="C12" s="121" t="s">
        <v>810</v>
      </c>
      <c r="D12" s="125">
        <v>4900</v>
      </c>
      <c r="E12" s="123">
        <v>1996</v>
      </c>
      <c r="F12" s="124" t="s">
        <v>811</v>
      </c>
      <c r="G12" s="122" t="s">
        <v>802</v>
      </c>
      <c r="H12" s="122" t="s">
        <v>436</v>
      </c>
      <c r="I12" s="99"/>
      <c r="J12" s="31"/>
      <c r="K12" s="31" t="str">
        <v>Finance</v>
      </c>
      <c r="L12" s="31" t="str">
        <v>Jade Simon</v>
      </c>
      <c r="M12" s="31">
        <v>8900</v>
      </c>
      <c r="N12" s="31">
        <v>1961</v>
      </c>
      <c r="O12" s="31" t="str">
        <v>F</v>
      </c>
      <c r="P12" s="31" t="str">
        <v>Geneva</v>
      </c>
      <c r="Q12" s="31" t="str">
        <v>Retired</v>
      </c>
    </row>
    <row r="13" spans="1:23" ht="15.6">
      <c r="B13" s="120" t="s">
        <v>794</v>
      </c>
      <c r="C13" s="121" t="s">
        <v>812</v>
      </c>
      <c r="D13" s="125">
        <v>11750</v>
      </c>
      <c r="E13" s="123">
        <v>2005</v>
      </c>
      <c r="F13" s="124" t="s">
        <v>796</v>
      </c>
      <c r="G13" s="122" t="s">
        <v>797</v>
      </c>
      <c r="H13" s="122" t="s">
        <v>436</v>
      </c>
      <c r="I13" s="99"/>
      <c r="J13" s="31"/>
      <c r="K13" s="31" t="str">
        <v>Finance</v>
      </c>
      <c r="L13" s="31" t="str">
        <v>Maxime Robin</v>
      </c>
      <c r="M13" s="31">
        <v>13450</v>
      </c>
      <c r="N13" s="31">
        <v>1974</v>
      </c>
      <c r="O13" s="31" t="str">
        <v>M</v>
      </c>
      <c r="P13" s="31" t="str">
        <v>Lausanne</v>
      </c>
      <c r="Q13" s="31" t="str">
        <v>Active</v>
      </c>
    </row>
    <row r="14" spans="1:23" ht="15.6">
      <c r="B14" s="120" t="s">
        <v>804</v>
      </c>
      <c r="C14" s="121" t="s">
        <v>813</v>
      </c>
      <c r="D14" s="125">
        <v>9100</v>
      </c>
      <c r="E14" s="123">
        <v>2003</v>
      </c>
      <c r="F14" s="124" t="s">
        <v>796</v>
      </c>
      <c r="G14" s="122" t="s">
        <v>797</v>
      </c>
      <c r="H14" s="122" t="s">
        <v>438</v>
      </c>
      <c r="I14" s="99"/>
      <c r="J14" s="31"/>
      <c r="K14" s="31" t="str">
        <v>Finance</v>
      </c>
      <c r="L14" s="31" t="str">
        <v>Sarah Thomas</v>
      </c>
      <c r="M14" s="31">
        <v>13600</v>
      </c>
      <c r="N14" s="31">
        <v>1989</v>
      </c>
      <c r="O14" s="31" t="str">
        <v>F</v>
      </c>
      <c r="P14" s="31" t="str">
        <v>Lausanne</v>
      </c>
      <c r="Q14" s="31" t="str">
        <v>Active</v>
      </c>
    </row>
    <row r="15" spans="1:23" ht="15.6">
      <c r="B15" s="120" t="s">
        <v>799</v>
      </c>
      <c r="C15" s="121" t="s">
        <v>814</v>
      </c>
      <c r="D15" s="125">
        <v>12300</v>
      </c>
      <c r="E15" s="123">
        <v>2001</v>
      </c>
      <c r="F15" s="124" t="s">
        <v>801</v>
      </c>
      <c r="G15" s="122" t="s">
        <v>802</v>
      </c>
      <c r="H15" s="122" t="s">
        <v>436</v>
      </c>
      <c r="I15" s="99"/>
      <c r="J15" s="31"/>
      <c r="K15" s="31" t="str">
        <v>Finance</v>
      </c>
      <c r="L15" s="31" t="str">
        <v>Ethan Gauthier</v>
      </c>
      <c r="M15" s="31">
        <v>7500</v>
      </c>
      <c r="N15" s="31">
        <v>2000</v>
      </c>
      <c r="O15" s="31" t="str">
        <v>M</v>
      </c>
      <c r="P15" s="31" t="str">
        <v>Zurich</v>
      </c>
      <c r="Q15" s="31" t="str">
        <v>Active</v>
      </c>
    </row>
    <row r="16" spans="1:23" ht="15.6">
      <c r="B16" s="120" t="s">
        <v>804</v>
      </c>
      <c r="C16" s="121" t="s">
        <v>815</v>
      </c>
      <c r="D16" s="125">
        <v>7800</v>
      </c>
      <c r="E16" s="123">
        <v>1995</v>
      </c>
      <c r="F16" s="124" t="s">
        <v>796</v>
      </c>
      <c r="G16" s="122" t="s">
        <v>802</v>
      </c>
      <c r="H16" s="122" t="s">
        <v>436</v>
      </c>
      <c r="I16" s="99"/>
      <c r="J16" s="31"/>
      <c r="K16" s="31"/>
      <c r="L16" s="31"/>
      <c r="M16" s="31"/>
      <c r="N16" s="31"/>
      <c r="O16" s="31"/>
      <c r="P16" s="31"/>
      <c r="Q16" s="31"/>
    </row>
    <row r="17" spans="2:21" ht="15.6">
      <c r="B17" s="120" t="s">
        <v>799</v>
      </c>
      <c r="C17" s="121" t="s">
        <v>816</v>
      </c>
      <c r="D17" s="125">
        <v>10200</v>
      </c>
      <c r="E17" s="123">
        <v>1990</v>
      </c>
      <c r="F17" s="124" t="s">
        <v>801</v>
      </c>
      <c r="G17" s="122" t="s">
        <v>806</v>
      </c>
      <c r="H17" s="122" t="s">
        <v>436</v>
      </c>
      <c r="I17" s="99"/>
      <c r="J17" s="31"/>
      <c r="K17" s="31"/>
      <c r="L17" s="31"/>
      <c r="M17" s="31"/>
      <c r="N17" s="31"/>
      <c r="O17" s="31"/>
      <c r="P17" s="31"/>
      <c r="Q17" s="31"/>
    </row>
    <row r="18" spans="2:21" ht="15.6">
      <c r="B18" s="120" t="s">
        <v>804</v>
      </c>
      <c r="C18" s="121" t="s">
        <v>817</v>
      </c>
      <c r="D18" s="125">
        <v>6500</v>
      </c>
      <c r="E18" s="123">
        <v>1984</v>
      </c>
      <c r="F18" s="124" t="s">
        <v>796</v>
      </c>
      <c r="G18" s="122" t="s">
        <v>802</v>
      </c>
      <c r="H18" s="122" t="s">
        <v>436</v>
      </c>
      <c r="I18" s="99"/>
      <c r="J18" s="31"/>
      <c r="K18" s="31"/>
      <c r="L18" s="31"/>
      <c r="M18" s="31"/>
      <c r="N18" s="31"/>
      <c r="O18" s="31"/>
      <c r="P18" s="31"/>
      <c r="Q18" s="31"/>
    </row>
    <row r="19" spans="2:21" ht="15.6">
      <c r="B19" s="120" t="s">
        <v>804</v>
      </c>
      <c r="C19" s="121" t="s">
        <v>818</v>
      </c>
      <c r="D19" s="125">
        <v>11000</v>
      </c>
      <c r="E19" s="123">
        <v>1966</v>
      </c>
      <c r="F19" s="124" t="s">
        <v>801</v>
      </c>
      <c r="G19" s="122" t="s">
        <v>802</v>
      </c>
      <c r="H19" s="122" t="s">
        <v>442</v>
      </c>
      <c r="I19" s="99"/>
      <c r="J19" s="31"/>
      <c r="K19" s="31"/>
      <c r="L19" s="31"/>
      <c r="M19" s="31"/>
      <c r="N19" s="31"/>
      <c r="O19" s="31"/>
      <c r="P19" s="31"/>
      <c r="Q19" s="31"/>
      <c r="U19" s="32"/>
    </row>
    <row r="20" spans="2:21" ht="15.6">
      <c r="B20" s="120" t="s">
        <v>794</v>
      </c>
      <c r="C20" s="121" t="s">
        <v>819</v>
      </c>
      <c r="D20" s="125">
        <v>8900</v>
      </c>
      <c r="E20" s="123">
        <v>1961</v>
      </c>
      <c r="F20" s="124" t="s">
        <v>796</v>
      </c>
      <c r="G20" s="122" t="s">
        <v>802</v>
      </c>
      <c r="H20" s="122" t="s">
        <v>448</v>
      </c>
      <c r="I20" s="99"/>
      <c r="J20" s="31"/>
      <c r="K20" s="31"/>
      <c r="L20" s="31"/>
      <c r="M20" s="31"/>
      <c r="N20" s="31"/>
      <c r="O20" s="31"/>
      <c r="P20" s="31"/>
      <c r="Q20" s="31"/>
    </row>
    <row r="21" spans="2:21" ht="15.6">
      <c r="B21" s="120" t="s">
        <v>794</v>
      </c>
      <c r="C21" s="121" t="s">
        <v>820</v>
      </c>
      <c r="D21" s="125">
        <v>13450</v>
      </c>
      <c r="E21" s="123">
        <v>1974</v>
      </c>
      <c r="F21" s="124" t="s">
        <v>801</v>
      </c>
      <c r="G21" s="122" t="s">
        <v>821</v>
      </c>
      <c r="H21" s="122" t="s">
        <v>436</v>
      </c>
      <c r="I21" s="99"/>
      <c r="J21" s="31"/>
      <c r="K21" s="31"/>
      <c r="L21" s="31"/>
      <c r="M21" s="31"/>
      <c r="N21" s="31"/>
      <c r="O21" s="31"/>
      <c r="P21" s="31"/>
      <c r="Q21" s="31"/>
    </row>
    <row r="22" spans="2:21" ht="15.6">
      <c r="B22" s="120" t="s">
        <v>794</v>
      </c>
      <c r="C22" s="121" t="s">
        <v>822</v>
      </c>
      <c r="D22" s="125">
        <v>13600</v>
      </c>
      <c r="E22" s="123">
        <v>1989</v>
      </c>
      <c r="F22" s="124" t="s">
        <v>796</v>
      </c>
      <c r="G22" s="122" t="s">
        <v>821</v>
      </c>
      <c r="H22" s="122" t="s">
        <v>436</v>
      </c>
      <c r="I22" s="99"/>
      <c r="J22" s="31"/>
      <c r="K22" s="31"/>
      <c r="L22" s="31"/>
      <c r="M22" s="31"/>
      <c r="N22" s="31"/>
      <c r="O22" s="31"/>
      <c r="P22" s="31"/>
      <c r="Q22" s="31"/>
    </row>
    <row r="23" spans="2:21" ht="15.6">
      <c r="B23" s="120" t="s">
        <v>799</v>
      </c>
      <c r="C23" s="121" t="s">
        <v>823</v>
      </c>
      <c r="D23" s="125">
        <v>6800</v>
      </c>
      <c r="E23" s="123">
        <v>1984</v>
      </c>
      <c r="F23" s="124" t="s">
        <v>801</v>
      </c>
      <c r="G23" s="122" t="s">
        <v>821</v>
      </c>
      <c r="H23" s="122" t="s">
        <v>446</v>
      </c>
      <c r="I23" s="99"/>
      <c r="J23" s="31"/>
      <c r="K23" s="31"/>
      <c r="L23" s="31"/>
      <c r="M23" s="31"/>
      <c r="N23" s="31"/>
      <c r="O23" s="31"/>
      <c r="P23" s="31"/>
      <c r="Q23" s="31"/>
    </row>
    <row r="24" spans="2:21" ht="15.6">
      <c r="B24" s="120" t="s">
        <v>799</v>
      </c>
      <c r="C24" s="121" t="s">
        <v>824</v>
      </c>
      <c r="D24" s="125">
        <v>10300</v>
      </c>
      <c r="E24" s="123">
        <v>1998</v>
      </c>
      <c r="F24" s="124" t="s">
        <v>796</v>
      </c>
      <c r="G24" s="122" t="s">
        <v>802</v>
      </c>
      <c r="H24" s="122" t="s">
        <v>436</v>
      </c>
      <c r="I24" s="99"/>
      <c r="J24" s="31"/>
      <c r="K24" s="31"/>
      <c r="L24" s="31"/>
      <c r="M24" s="31"/>
      <c r="N24" s="31"/>
      <c r="O24" s="31"/>
      <c r="P24" s="31"/>
      <c r="Q24" s="31"/>
    </row>
    <row r="25" spans="2:21" ht="15.6">
      <c r="B25" s="120" t="s">
        <v>794</v>
      </c>
      <c r="C25" s="121" t="s">
        <v>825</v>
      </c>
      <c r="D25" s="125">
        <v>7500</v>
      </c>
      <c r="E25" s="123">
        <v>2000</v>
      </c>
      <c r="F25" s="124" t="s">
        <v>801</v>
      </c>
      <c r="G25" s="122" t="s">
        <v>797</v>
      </c>
      <c r="H25" s="122" t="s">
        <v>436</v>
      </c>
      <c r="I25" s="99"/>
      <c r="J25" s="31"/>
      <c r="K25" s="31"/>
      <c r="L25" s="31"/>
      <c r="M25" s="31"/>
      <c r="N25" s="31"/>
      <c r="O25" s="31"/>
      <c r="P25" s="31"/>
      <c r="Q25" s="31"/>
    </row>
    <row r="26" spans="2:21">
      <c r="C26" s="1"/>
      <c r="D26" s="2"/>
      <c r="E26" s="2"/>
      <c r="F26" s="102"/>
      <c r="G26" s="2"/>
      <c r="H26" s="2"/>
      <c r="I26" s="99"/>
    </row>
    <row r="27" spans="2:21">
      <c r="J27" s="100" t="str" cm="1">
        <f t="array" ref="J27">"B. "&amp;TranslateMe(206)</f>
        <v>B. FILTER WITH 2 CONDITIONS</v>
      </c>
      <c r="K27" s="100"/>
      <c r="L27" s="100"/>
      <c r="M27" s="100"/>
      <c r="N27" s="100"/>
      <c r="O27" s="100"/>
      <c r="P27" s="100"/>
      <c r="Q27" s="100"/>
    </row>
    <row r="28" spans="2:21" ht="18">
      <c r="J28" s="25" t="str">
        <f ca="1">_xlfn.FORMULATEXT(K29)</f>
        <v>=FILTER($B$6:$D$25;(B6:B25=$K$5)*(D6:D25&gt;10000);NotFound)</v>
      </c>
      <c r="K28" s="25"/>
      <c r="L28" s="25"/>
      <c r="M28" s="25"/>
      <c r="N28" s="25"/>
      <c r="O28" s="25"/>
      <c r="P28" s="25"/>
      <c r="Q28" s="25"/>
    </row>
    <row r="29" spans="2:21">
      <c r="J29" s="31"/>
      <c r="K29" s="31" t="str" cm="1">
        <f t="array" ref="K29:M31">_xlfn._xlws.FILTER($B$6:$D$25,(B6:B25=$K$5)*(D6:D25&gt;10000),NotFound)</f>
        <v>Finance</v>
      </c>
      <c r="L29" s="31" t="str">
        <v>Nathan Leroy</v>
      </c>
      <c r="M29" s="31">
        <v>11750</v>
      </c>
      <c r="N29" s="31"/>
      <c r="O29" s="31"/>
      <c r="P29" s="31"/>
      <c r="Q29" s="31"/>
    </row>
    <row r="30" spans="2:21">
      <c r="J30" s="31"/>
      <c r="K30" s="31" t="str">
        <v>Finance</v>
      </c>
      <c r="L30" s="31" t="str">
        <v>Maxime Robin</v>
      </c>
      <c r="M30" s="31">
        <v>13450</v>
      </c>
      <c r="N30" s="31"/>
      <c r="O30" s="31"/>
      <c r="P30" s="31"/>
      <c r="Q30" s="31"/>
    </row>
    <row r="31" spans="2:21">
      <c r="J31" s="31"/>
      <c r="K31" s="31" t="str">
        <v>Finance</v>
      </c>
      <c r="L31" s="31" t="str">
        <v>Sarah Thomas</v>
      </c>
      <c r="M31" s="31">
        <v>13600</v>
      </c>
      <c r="N31" s="31"/>
      <c r="O31" s="31"/>
      <c r="P31" s="31"/>
      <c r="Q31" s="31"/>
    </row>
    <row r="35" spans="2:18">
      <c r="B35" s="100" t="str" cm="1">
        <f t="array" ref="B35">"C. "&amp;TranslateMe(207)</f>
        <v>C. FILTER AND CHOOSE COLUMNS</v>
      </c>
      <c r="C35" s="100"/>
      <c r="D35" s="100"/>
      <c r="E35" s="100"/>
      <c r="F35" s="100"/>
      <c r="G35" s="103"/>
      <c r="H35" s="100" t="str" cm="1">
        <f t="array" ref="H35">"D. "&amp;TranslateMe(208)</f>
        <v>D. FILTER FROM ARRAY FORMULA RESULT</v>
      </c>
      <c r="I35" s="100"/>
      <c r="J35" s="100"/>
      <c r="K35" s="100"/>
      <c r="L35" s="100"/>
      <c r="M35" s="103"/>
      <c r="N35" s="100" t="str" cm="1">
        <f t="array" ref="N35">"E. "&amp;TranslateMe(209)</f>
        <v>E. NESTED FILTERING</v>
      </c>
      <c r="O35" s="100"/>
      <c r="P35" s="100"/>
      <c r="Q35" s="100"/>
      <c r="R35" s="100"/>
    </row>
    <row r="36" spans="2:18" ht="18">
      <c r="B36" s="25" t="str">
        <f ca="1">_xlfn.FORMULATEXT(C37)</f>
        <v>=FILTER(B6:H25;{0\1\0\1\1\0\1};"N/A")</v>
      </c>
      <c r="F36"/>
      <c r="G36" s="43"/>
      <c r="H36" s="25" t="str">
        <f ca="1">_xlfn.FORMULATEXT(I37)</f>
        <v>=FILTER($K$8#;{0\1\0\1\1\0\1};NotFound)</v>
      </c>
      <c r="M36" s="43"/>
      <c r="N36" s="25" t="str">
        <f ca="1">_xlfn.FORMULATEXT(O37)</f>
        <v>=FILTER(FILTER(B6:H25;B6:B25=$K$5;"N/A");{0\1\0\1\1\0\1};"N/A")</v>
      </c>
    </row>
    <row r="37" spans="2:18">
      <c r="B37" s="31"/>
      <c r="C37" s="31" t="str" cm="1">
        <f t="array" ref="C37:F56">_xlfn._xlws.FILTER(B6:H25,{0,1,0,1,1,0,1},"N/A")</f>
        <v>Camille Dubois</v>
      </c>
      <c r="D37" s="31">
        <v>1996</v>
      </c>
      <c r="E37" s="31" t="str">
        <v>F</v>
      </c>
      <c r="F37" s="31" t="str">
        <v>Training</v>
      </c>
      <c r="G37" s="43"/>
      <c r="H37" s="31"/>
      <c r="I37" s="31" t="str" cm="1">
        <f t="array" ref="I37:L44">_xlfn._xlws.FILTER(_xlfn.ANCHORARRAY($K$8),{0,1,0,1,1,0,1},NotFound)</f>
        <v>Camille Dubois</v>
      </c>
      <c r="J37" s="31">
        <v>1996</v>
      </c>
      <c r="K37" s="31" t="str">
        <v>F</v>
      </c>
      <c r="L37" s="31" t="str">
        <v>Training</v>
      </c>
      <c r="M37" s="43"/>
      <c r="N37" s="31"/>
      <c r="O37" s="31" t="str" cm="1">
        <f t="array" ref="O37:R44">_xlfn._xlws.FILTER(_xlfn._xlws.FILTER(B6:H25,B6:B25=$K$5,"N/A"),{0,1,0,1,1,0,1},"N/A")</f>
        <v>Camille Dubois</v>
      </c>
      <c r="P37" s="31">
        <v>1996</v>
      </c>
      <c r="Q37" s="31" t="str">
        <v>F</v>
      </c>
      <c r="R37" s="31" t="str">
        <v>Training</v>
      </c>
    </row>
    <row r="38" spans="2:18">
      <c r="B38" s="31"/>
      <c r="C38" s="31" t="str">
        <v>Lucas Martin</v>
      </c>
      <c r="D38" s="31">
        <v>2001</v>
      </c>
      <c r="E38" s="31" t="str">
        <v>M</v>
      </c>
      <c r="F38" s="31" t="str">
        <v>Training</v>
      </c>
      <c r="G38" s="43"/>
      <c r="H38" s="31"/>
      <c r="I38" s="31" t="str">
        <v>Emma Garcia</v>
      </c>
      <c r="J38" s="31">
        <v>1987</v>
      </c>
      <c r="K38" s="31" t="str">
        <v>F</v>
      </c>
      <c r="L38" s="31" t="str">
        <v>Active</v>
      </c>
      <c r="M38" s="43"/>
      <c r="N38" s="31"/>
      <c r="O38" s="31" t="str">
        <v>Emma Garcia</v>
      </c>
      <c r="P38" s="31">
        <v>1987</v>
      </c>
      <c r="Q38" s="31" t="str">
        <v>F</v>
      </c>
      <c r="R38" s="31" t="str">
        <v>Active</v>
      </c>
    </row>
    <row r="39" spans="2:18">
      <c r="B39" s="31"/>
      <c r="C39" s="31" t="str">
        <v>Manon Lambert</v>
      </c>
      <c r="D39" s="31">
        <v>1998</v>
      </c>
      <c r="E39" s="31" t="str">
        <v>F</v>
      </c>
      <c r="F39" s="31" t="str">
        <v>Active</v>
      </c>
      <c r="G39" s="43"/>
      <c r="H39" s="31"/>
      <c r="I39" s="31" t="str">
        <v>Léa Rousseau</v>
      </c>
      <c r="J39" s="31">
        <v>1996</v>
      </c>
      <c r="K39" s="31" t="str">
        <v>ND</v>
      </c>
      <c r="L39" s="31" t="str">
        <v>Active</v>
      </c>
      <c r="M39" s="43"/>
      <c r="N39" s="31"/>
      <c r="O39" s="31" t="str">
        <v>Léa Rousseau</v>
      </c>
      <c r="P39" s="31">
        <v>1996</v>
      </c>
      <c r="Q39" s="31" t="str">
        <v>ND</v>
      </c>
      <c r="R39" s="31" t="str">
        <v>Active</v>
      </c>
    </row>
    <row r="40" spans="2:18">
      <c r="B40" s="31"/>
      <c r="C40" s="31" t="str">
        <v>Hugo Dupont</v>
      </c>
      <c r="D40" s="31">
        <v>1965</v>
      </c>
      <c r="E40" s="31" t="str">
        <v>M</v>
      </c>
      <c r="F40" s="31" t="str">
        <v>Active</v>
      </c>
      <c r="G40" s="43"/>
      <c r="H40" s="31"/>
      <c r="I40" s="31" t="str">
        <v>Nathan Leroy</v>
      </c>
      <c r="J40" s="31">
        <v>2005</v>
      </c>
      <c r="K40" s="31" t="str">
        <v>F</v>
      </c>
      <c r="L40" s="31" t="str">
        <v>Active</v>
      </c>
      <c r="M40" s="43"/>
      <c r="N40" s="31"/>
      <c r="O40" s="31" t="str">
        <v>Nathan Leroy</v>
      </c>
      <c r="P40" s="31">
        <v>2005</v>
      </c>
      <c r="Q40" s="31" t="str">
        <v>F</v>
      </c>
      <c r="R40" s="31" t="str">
        <v>Active</v>
      </c>
    </row>
    <row r="41" spans="2:18">
      <c r="B41" s="31"/>
      <c r="C41" s="31" t="str">
        <v>Emma Garcia</v>
      </c>
      <c r="D41" s="31">
        <v>1987</v>
      </c>
      <c r="E41" s="31" t="str">
        <v>F</v>
      </c>
      <c r="F41" s="31" t="str">
        <v>Active</v>
      </c>
      <c r="G41" s="43"/>
      <c r="H41" s="31"/>
      <c r="I41" s="31" t="str">
        <v>Jade Simon</v>
      </c>
      <c r="J41" s="31">
        <v>1961</v>
      </c>
      <c r="K41" s="31" t="str">
        <v>F</v>
      </c>
      <c r="L41" s="31" t="str">
        <v>Retired</v>
      </c>
      <c r="M41" s="43"/>
      <c r="N41" s="31"/>
      <c r="O41" s="31" t="str">
        <v>Jade Simon</v>
      </c>
      <c r="P41" s="31">
        <v>1961</v>
      </c>
      <c r="Q41" s="31" t="str">
        <v>F</v>
      </c>
      <c r="R41" s="31" t="str">
        <v>Retired</v>
      </c>
    </row>
    <row r="42" spans="2:18">
      <c r="B42" s="31"/>
      <c r="C42" s="31" t="str">
        <v>Louis Chevalier</v>
      </c>
      <c r="D42" s="31">
        <v>1979</v>
      </c>
      <c r="E42" s="31" t="str">
        <v>M</v>
      </c>
      <c r="F42" s="31" t="str">
        <v>Active</v>
      </c>
      <c r="G42" s="43"/>
      <c r="H42" s="31"/>
      <c r="I42" s="31" t="str">
        <v>Maxime Robin</v>
      </c>
      <c r="J42" s="31">
        <v>1974</v>
      </c>
      <c r="K42" s="31" t="str">
        <v>M</v>
      </c>
      <c r="L42" s="31" t="str">
        <v>Active</v>
      </c>
      <c r="M42" s="43"/>
      <c r="N42" s="31"/>
      <c r="O42" s="31" t="str">
        <v>Maxime Robin</v>
      </c>
      <c r="P42" s="31">
        <v>1974</v>
      </c>
      <c r="Q42" s="31" t="str">
        <v>M</v>
      </c>
      <c r="R42" s="31" t="str">
        <v>Active</v>
      </c>
    </row>
    <row r="43" spans="2:18">
      <c r="B43" s="31"/>
      <c r="C43" s="31" t="str">
        <v>Léa Rousseau</v>
      </c>
      <c r="D43" s="31">
        <v>1996</v>
      </c>
      <c r="E43" s="31" t="str">
        <v>ND</v>
      </c>
      <c r="F43" s="31" t="str">
        <v>Active</v>
      </c>
      <c r="G43" s="43"/>
      <c r="H43" s="31"/>
      <c r="I43" s="31" t="str">
        <v>Sarah Thomas</v>
      </c>
      <c r="J43" s="31">
        <v>1989</v>
      </c>
      <c r="K43" s="31" t="str">
        <v>F</v>
      </c>
      <c r="L43" s="31" t="str">
        <v>Active</v>
      </c>
      <c r="M43" s="43"/>
      <c r="N43" s="31"/>
      <c r="O43" s="31" t="str">
        <v>Sarah Thomas</v>
      </c>
      <c r="P43" s="31">
        <v>1989</v>
      </c>
      <c r="Q43" s="31" t="str">
        <v>F</v>
      </c>
      <c r="R43" s="31" t="str">
        <v>Active</v>
      </c>
    </row>
    <row r="44" spans="2:18">
      <c r="B44" s="31"/>
      <c r="C44" s="31" t="str">
        <v>Nathan Leroy</v>
      </c>
      <c r="D44" s="31">
        <v>2005</v>
      </c>
      <c r="E44" s="31" t="str">
        <v>F</v>
      </c>
      <c r="F44" s="31" t="str">
        <v>Active</v>
      </c>
      <c r="G44" s="43"/>
      <c r="H44" s="31"/>
      <c r="I44" s="31" t="str">
        <v>Ethan Gauthier</v>
      </c>
      <c r="J44" s="31">
        <v>2000</v>
      </c>
      <c r="K44" s="31" t="str">
        <v>M</v>
      </c>
      <c r="L44" s="31" t="str">
        <v>Active</v>
      </c>
      <c r="M44" s="43"/>
      <c r="N44" s="31"/>
      <c r="O44" s="31" t="str">
        <v>Ethan Gauthier</v>
      </c>
      <c r="P44" s="31">
        <v>2000</v>
      </c>
      <c r="Q44" s="31" t="str">
        <v>M</v>
      </c>
      <c r="R44" s="31" t="str">
        <v>Active</v>
      </c>
    </row>
    <row r="45" spans="2:18">
      <c r="B45" s="31"/>
      <c r="C45" s="31" t="str">
        <v>Chloé Lefebvre</v>
      </c>
      <c r="D45" s="31">
        <v>2003</v>
      </c>
      <c r="E45" s="31" t="str">
        <v>F</v>
      </c>
      <c r="F45" s="31" t="str">
        <v>Maternity leave</v>
      </c>
      <c r="G45" s="43"/>
      <c r="H45" s="31"/>
      <c r="I45" s="31"/>
      <c r="J45" s="31"/>
      <c r="K45" s="31"/>
      <c r="L45" s="31"/>
      <c r="M45" s="43"/>
      <c r="N45" s="31"/>
      <c r="O45" s="31"/>
      <c r="P45" s="31"/>
      <c r="Q45" s="31"/>
      <c r="R45" s="31"/>
    </row>
    <row r="46" spans="2:18">
      <c r="B46" s="31"/>
      <c r="C46" s="31" t="str">
        <v>Enzo Moreau</v>
      </c>
      <c r="D46" s="31">
        <v>2001</v>
      </c>
      <c r="E46" s="31" t="str">
        <v>M</v>
      </c>
      <c r="F46" s="31" t="str">
        <v>Active</v>
      </c>
      <c r="G46" s="43"/>
      <c r="H46" s="31"/>
      <c r="I46" s="31"/>
      <c r="J46" s="31"/>
      <c r="K46" s="31"/>
      <c r="L46" s="31"/>
      <c r="M46" s="43"/>
      <c r="N46" s="31"/>
      <c r="O46" s="31"/>
      <c r="P46" s="31"/>
      <c r="Q46" s="31"/>
      <c r="R46" s="31"/>
    </row>
    <row r="47" spans="2:18">
      <c r="B47" s="31"/>
      <c r="C47" s="31" t="str">
        <v>Clara Mercier</v>
      </c>
      <c r="D47" s="31">
        <v>1995</v>
      </c>
      <c r="E47" s="31" t="str">
        <v>F</v>
      </c>
      <c r="F47" s="31" t="str">
        <v>Active</v>
      </c>
      <c r="G47" s="43"/>
      <c r="H47" s="31"/>
      <c r="I47" s="31"/>
      <c r="J47" s="31"/>
      <c r="K47" s="31"/>
      <c r="L47" s="31"/>
      <c r="M47" s="43"/>
      <c r="N47" s="31"/>
      <c r="O47" s="31"/>
      <c r="P47" s="31"/>
      <c r="Q47" s="31"/>
      <c r="R47" s="31"/>
    </row>
    <row r="48" spans="2:18">
      <c r="B48" s="31"/>
      <c r="C48" s="31" t="str">
        <v>Théo Laurent</v>
      </c>
      <c r="D48" s="31">
        <v>1990</v>
      </c>
      <c r="E48" s="31" t="str">
        <v>M</v>
      </c>
      <c r="F48" s="31" t="str">
        <v>Active</v>
      </c>
      <c r="G48" s="43"/>
      <c r="H48" s="31"/>
      <c r="I48" s="31"/>
      <c r="J48" s="31"/>
      <c r="K48" s="31"/>
      <c r="L48" s="31"/>
      <c r="M48" s="43"/>
      <c r="N48" s="31"/>
      <c r="O48" s="31"/>
      <c r="P48" s="31"/>
      <c r="Q48" s="31"/>
      <c r="R48" s="31"/>
    </row>
    <row r="49" spans="1:18">
      <c r="B49" s="31"/>
      <c r="C49" s="31" t="str">
        <v>Zoé Girard</v>
      </c>
      <c r="D49" s="31">
        <v>1984</v>
      </c>
      <c r="E49" s="31" t="str">
        <v>F</v>
      </c>
      <c r="F49" s="31" t="str">
        <v>Active</v>
      </c>
      <c r="G49" s="43"/>
      <c r="H49" s="31"/>
      <c r="I49" s="31"/>
      <c r="J49" s="31"/>
      <c r="K49" s="31"/>
      <c r="L49" s="31"/>
      <c r="M49" s="43"/>
      <c r="N49" s="31"/>
      <c r="O49" s="31"/>
      <c r="P49" s="31"/>
      <c r="Q49" s="31"/>
      <c r="R49" s="31"/>
    </row>
    <row r="50" spans="1:18">
      <c r="B50" s="31"/>
      <c r="C50" s="31" t="str">
        <v>Gabriel Petit</v>
      </c>
      <c r="D50" s="31">
        <v>1966</v>
      </c>
      <c r="E50" s="31" t="str">
        <v>M</v>
      </c>
      <c r="F50" s="31" t="str">
        <v>Pre-retirement</v>
      </c>
      <c r="G50" s="43"/>
      <c r="H50" s="31"/>
      <c r="I50" s="31"/>
      <c r="J50" s="31"/>
      <c r="K50" s="31"/>
      <c r="L50" s="31"/>
      <c r="M50" s="43"/>
      <c r="N50" s="31"/>
      <c r="O50" s="31"/>
      <c r="P50" s="31"/>
      <c r="Q50" s="31"/>
      <c r="R50" s="31"/>
    </row>
    <row r="51" spans="1:18">
      <c r="B51" s="31"/>
      <c r="C51" s="31" t="str">
        <v>Jade Simon</v>
      </c>
      <c r="D51" s="31">
        <v>1961</v>
      </c>
      <c r="E51" s="31" t="str">
        <v>F</v>
      </c>
      <c r="F51" s="31" t="str">
        <v>Retired</v>
      </c>
      <c r="G51" s="43"/>
      <c r="H51" s="31"/>
      <c r="I51" s="31"/>
      <c r="J51" s="31"/>
      <c r="K51" s="31"/>
      <c r="L51" s="31"/>
      <c r="M51" s="43"/>
      <c r="N51" s="31"/>
      <c r="O51" s="31"/>
      <c r="P51" s="31"/>
      <c r="Q51" s="31"/>
      <c r="R51" s="31"/>
    </row>
    <row r="52" spans="1:18">
      <c r="B52" s="31"/>
      <c r="C52" s="31" t="str">
        <v>Maxime Robin</v>
      </c>
      <c r="D52" s="31">
        <v>1974</v>
      </c>
      <c r="E52" s="31" t="str">
        <v>M</v>
      </c>
      <c r="F52" s="31" t="str">
        <v>Active</v>
      </c>
      <c r="G52" s="43"/>
      <c r="H52" s="31"/>
      <c r="I52" s="31"/>
      <c r="J52" s="31"/>
      <c r="K52" s="31"/>
      <c r="L52" s="31"/>
      <c r="M52" s="43"/>
      <c r="N52" s="31"/>
      <c r="O52" s="31"/>
      <c r="P52" s="31"/>
      <c r="Q52" s="31"/>
      <c r="R52" s="31"/>
    </row>
    <row r="53" spans="1:18">
      <c r="B53" s="31"/>
      <c r="C53" s="31" t="str">
        <v>Sarah Thomas</v>
      </c>
      <c r="D53" s="31">
        <v>1989</v>
      </c>
      <c r="E53" s="31" t="str">
        <v>F</v>
      </c>
      <c r="F53" s="31" t="str">
        <v>Active</v>
      </c>
      <c r="G53" s="43"/>
      <c r="H53" s="31"/>
      <c r="I53" s="31"/>
      <c r="J53" s="31"/>
      <c r="K53" s="31"/>
      <c r="L53" s="31"/>
      <c r="M53" s="43"/>
      <c r="N53" s="31"/>
      <c r="O53" s="31"/>
      <c r="P53" s="31"/>
      <c r="Q53" s="31"/>
      <c r="R53" s="31"/>
    </row>
    <row r="54" spans="1:18">
      <c r="B54" s="31"/>
      <c r="C54" s="31" t="str">
        <v>Mathis Leroux</v>
      </c>
      <c r="D54" s="31">
        <v>1984</v>
      </c>
      <c r="E54" s="31" t="str">
        <v>M</v>
      </c>
      <c r="F54" s="31" t="str">
        <v>Sick Leave</v>
      </c>
      <c r="G54" s="43"/>
      <c r="H54" s="31"/>
      <c r="I54" s="31"/>
      <c r="J54" s="31"/>
      <c r="K54" s="31"/>
      <c r="L54" s="31"/>
      <c r="M54" s="43"/>
      <c r="N54" s="31"/>
      <c r="O54" s="31"/>
      <c r="P54" s="31"/>
      <c r="Q54" s="31"/>
      <c r="R54" s="31"/>
    </row>
    <row r="55" spans="1:18">
      <c r="B55" s="31"/>
      <c r="C55" s="31" t="str">
        <v>Inès Martinez</v>
      </c>
      <c r="D55" s="31">
        <v>1998</v>
      </c>
      <c r="E55" s="31" t="str">
        <v>F</v>
      </c>
      <c r="F55" s="31" t="str">
        <v>Active</v>
      </c>
      <c r="G55" s="43"/>
      <c r="H55" s="31"/>
      <c r="I55" s="31"/>
      <c r="J55" s="31"/>
      <c r="K55" s="31"/>
      <c r="L55" s="31"/>
      <c r="M55" s="43"/>
      <c r="N55" s="31"/>
      <c r="O55" s="31"/>
      <c r="P55" s="31"/>
      <c r="Q55" s="31"/>
      <c r="R55" s="31"/>
    </row>
    <row r="56" spans="1:18">
      <c r="B56" s="31"/>
      <c r="C56" s="31" t="str">
        <v>Ethan Gauthier</v>
      </c>
      <c r="D56" s="31">
        <v>2000</v>
      </c>
      <c r="E56" s="31" t="str">
        <v>M</v>
      </c>
      <c r="F56" s="31" t="str">
        <v>Active</v>
      </c>
      <c r="G56" s="43"/>
      <c r="H56" s="31"/>
      <c r="I56" s="31"/>
      <c r="J56" s="31"/>
      <c r="K56" s="31"/>
      <c r="L56" s="31"/>
      <c r="M56" s="43"/>
      <c r="N56" s="31"/>
      <c r="O56" s="31"/>
      <c r="P56" s="31"/>
      <c r="Q56" s="31"/>
      <c r="R56" s="31"/>
    </row>
    <row r="57" spans="1:18">
      <c r="F57"/>
    </row>
    <row r="58" spans="1:18" s="56" customFormat="1" ht="68.25" customHeight="1">
      <c r="A58" s="148"/>
      <c r="C58" s="151" t="str" cm="1">
        <f t="array" ref="C58">Translatefct(10,0)</f>
        <v>FILTER</v>
      </c>
      <c r="D58" s="149"/>
      <c r="F58" s="158" t="str" cm="1">
        <f t="array" ref="F58">TranslateMe(232)</f>
        <v>within a table</v>
      </c>
    </row>
    <row r="59" spans="1:18" ht="15.6">
      <c r="B59" s="165" t="s">
        <v>622</v>
      </c>
      <c r="C59" s="165" t="s">
        <v>616</v>
      </c>
      <c r="D59" s="165" t="s">
        <v>790</v>
      </c>
      <c r="E59" s="165" t="s">
        <v>628</v>
      </c>
      <c r="F59" s="165" t="s">
        <v>626</v>
      </c>
      <c r="G59" s="165" t="s">
        <v>791</v>
      </c>
      <c r="H59" s="165" t="s">
        <v>792</v>
      </c>
      <c r="J59" s="100" t="str" cm="1">
        <f t="array" ref="J59">TranslateMe(205)</f>
        <v>FILTER WITH 1 CONDITION</v>
      </c>
      <c r="K59" s="100"/>
      <c r="L59" s="100"/>
      <c r="M59" s="100"/>
      <c r="N59" s="100"/>
      <c r="O59" s="100"/>
      <c r="P59" s="100"/>
    </row>
    <row r="60" spans="1:18" ht="18">
      <c r="B60" s="120" t="s">
        <v>794</v>
      </c>
      <c r="C60" s="121" t="s">
        <v>795</v>
      </c>
      <c r="D60" s="125">
        <v>5000</v>
      </c>
      <c r="E60" s="123">
        <v>1996</v>
      </c>
      <c r="F60" s="124" t="s">
        <v>796</v>
      </c>
      <c r="G60" s="122" t="s">
        <v>797</v>
      </c>
      <c r="H60" s="122" t="s">
        <v>444</v>
      </c>
      <c r="J60" s="25" t="str">
        <f ca="1">_xlfn.FORMULATEXT(J61)</f>
        <v>=FILTER(tbl_filtre;tbl_filtre[Department]="Sales";NotFound)</v>
      </c>
    </row>
    <row r="61" spans="1:18" ht="15.6">
      <c r="B61" s="120" t="s">
        <v>799</v>
      </c>
      <c r="C61" s="121" t="s">
        <v>800</v>
      </c>
      <c r="D61" s="125">
        <v>5200</v>
      </c>
      <c r="E61" s="123">
        <v>2001</v>
      </c>
      <c r="F61" s="124" t="s">
        <v>801</v>
      </c>
      <c r="G61" s="122" t="s">
        <v>802</v>
      </c>
      <c r="H61" s="122" t="s">
        <v>444</v>
      </c>
      <c r="J61" t="str" cm="1">
        <f t="array" ref="J61:P67">_xlfn._xlws.FILTER(tbl_filtre[],tbl_filtre[Department]="Sales",NotFound)</f>
        <v>Sales</v>
      </c>
      <c r="K61" t="str">
        <v>Manon Lambert</v>
      </c>
      <c r="L61">
        <v>8500</v>
      </c>
      <c r="M61">
        <v>1998</v>
      </c>
      <c r="N61" t="str">
        <v>F</v>
      </c>
      <c r="O61" t="str">
        <v>Berne</v>
      </c>
      <c r="P61" t="str">
        <v>Active</v>
      </c>
    </row>
    <row r="62" spans="1:18" ht="15.6">
      <c r="B62" s="120" t="s">
        <v>804</v>
      </c>
      <c r="C62" s="121" t="s">
        <v>805</v>
      </c>
      <c r="D62" s="125">
        <v>8500</v>
      </c>
      <c r="E62" s="123">
        <v>1998</v>
      </c>
      <c r="F62" s="124" t="s">
        <v>796</v>
      </c>
      <c r="G62" s="122" t="s">
        <v>806</v>
      </c>
      <c r="H62" s="122" t="s">
        <v>436</v>
      </c>
      <c r="J62" t="str">
        <v>Sales</v>
      </c>
      <c r="K62" t="str">
        <v>Hugo Dupont</v>
      </c>
      <c r="L62">
        <v>9800</v>
      </c>
      <c r="M62">
        <v>1965</v>
      </c>
      <c r="N62" t="str">
        <v>M</v>
      </c>
      <c r="O62" t="str">
        <v>Geneva</v>
      </c>
      <c r="P62" t="str">
        <v>Active</v>
      </c>
    </row>
    <row r="63" spans="1:18" ht="15.6">
      <c r="B63" s="120" t="s">
        <v>804</v>
      </c>
      <c r="C63" s="121" t="s">
        <v>807</v>
      </c>
      <c r="D63" s="125">
        <v>9800</v>
      </c>
      <c r="E63" s="123">
        <v>1965</v>
      </c>
      <c r="F63" s="124" t="s">
        <v>801</v>
      </c>
      <c r="G63" s="122" t="s">
        <v>802</v>
      </c>
      <c r="H63" s="122" t="s">
        <v>436</v>
      </c>
      <c r="J63" t="str">
        <v>Sales</v>
      </c>
      <c r="K63" t="str">
        <v>Louis Chevalier</v>
      </c>
      <c r="L63">
        <v>10600</v>
      </c>
      <c r="M63">
        <v>1979</v>
      </c>
      <c r="N63" t="str">
        <v>M</v>
      </c>
      <c r="O63" t="str">
        <v>Berne</v>
      </c>
      <c r="P63" t="str">
        <v>Active</v>
      </c>
    </row>
    <row r="64" spans="1:18" ht="15.6">
      <c r="B64" s="120" t="s">
        <v>794</v>
      </c>
      <c r="C64" s="121" t="s">
        <v>808</v>
      </c>
      <c r="D64" s="125">
        <v>7300</v>
      </c>
      <c r="E64" s="123">
        <v>1987</v>
      </c>
      <c r="F64" s="124" t="s">
        <v>796</v>
      </c>
      <c r="G64" s="122" t="s">
        <v>802</v>
      </c>
      <c r="H64" s="122" t="s">
        <v>436</v>
      </c>
      <c r="J64" t="str">
        <v>Sales</v>
      </c>
      <c r="K64" t="str">
        <v>Chloé Lefebvre</v>
      </c>
      <c r="L64">
        <v>9100</v>
      </c>
      <c r="M64">
        <v>2003</v>
      </c>
      <c r="N64" t="str">
        <v>F</v>
      </c>
      <c r="O64" t="str">
        <v>Zurich</v>
      </c>
      <c r="P64" t="str">
        <v>Maternity leave</v>
      </c>
    </row>
    <row r="65" spans="2:18" ht="15.6">
      <c r="B65" s="120" t="s">
        <v>804</v>
      </c>
      <c r="C65" s="121" t="s">
        <v>809</v>
      </c>
      <c r="D65" s="125">
        <v>10600</v>
      </c>
      <c r="E65" s="123">
        <v>1979</v>
      </c>
      <c r="F65" s="124" t="s">
        <v>801</v>
      </c>
      <c r="G65" s="122" t="s">
        <v>806</v>
      </c>
      <c r="H65" s="122" t="s">
        <v>436</v>
      </c>
      <c r="J65" t="str">
        <v>Sales</v>
      </c>
      <c r="K65" t="str">
        <v>Clara Mercier</v>
      </c>
      <c r="L65">
        <v>7800</v>
      </c>
      <c r="M65">
        <v>1995</v>
      </c>
      <c r="N65" t="str">
        <v>F</v>
      </c>
      <c r="O65" t="str">
        <v>Geneva</v>
      </c>
      <c r="P65" t="str">
        <v>Active</v>
      </c>
    </row>
    <row r="66" spans="2:18" ht="15.6">
      <c r="B66" s="120" t="s">
        <v>794</v>
      </c>
      <c r="C66" s="121" t="s">
        <v>810</v>
      </c>
      <c r="D66" s="125">
        <v>4900</v>
      </c>
      <c r="E66" s="123">
        <v>1996</v>
      </c>
      <c r="F66" s="124" t="s">
        <v>811</v>
      </c>
      <c r="G66" s="122" t="s">
        <v>802</v>
      </c>
      <c r="H66" s="122" t="s">
        <v>436</v>
      </c>
      <c r="J66" t="str">
        <v>Sales</v>
      </c>
      <c r="K66" t="str">
        <v>Zoé Girard</v>
      </c>
      <c r="L66">
        <v>6500</v>
      </c>
      <c r="M66">
        <v>1984</v>
      </c>
      <c r="N66" t="str">
        <v>F</v>
      </c>
      <c r="O66" t="str">
        <v>Geneva</v>
      </c>
      <c r="P66" t="str">
        <v>Active</v>
      </c>
    </row>
    <row r="67" spans="2:18" ht="15.6">
      <c r="B67" s="120" t="s">
        <v>794</v>
      </c>
      <c r="C67" s="121" t="s">
        <v>812</v>
      </c>
      <c r="D67" s="125">
        <v>11750</v>
      </c>
      <c r="E67" s="123">
        <v>2005</v>
      </c>
      <c r="F67" s="124" t="s">
        <v>796</v>
      </c>
      <c r="G67" s="122" t="s">
        <v>797</v>
      </c>
      <c r="H67" s="122" t="s">
        <v>436</v>
      </c>
      <c r="J67" t="str">
        <v>Sales</v>
      </c>
      <c r="K67" t="str">
        <v>Gabriel Petit</v>
      </c>
      <c r="L67">
        <v>11000</v>
      </c>
      <c r="M67">
        <v>1966</v>
      </c>
      <c r="N67" t="str">
        <v>M</v>
      </c>
      <c r="O67" t="str">
        <v>Geneva</v>
      </c>
      <c r="P67" t="str">
        <v>Pre-retirement</v>
      </c>
    </row>
    <row r="68" spans="2:18" ht="15.6">
      <c r="B68" s="120" t="s">
        <v>804</v>
      </c>
      <c r="C68" s="121" t="s">
        <v>813</v>
      </c>
      <c r="D68" s="125">
        <v>9100</v>
      </c>
      <c r="E68" s="123">
        <v>2003</v>
      </c>
      <c r="F68" s="124" t="s">
        <v>796</v>
      </c>
      <c r="G68" s="122" t="s">
        <v>797</v>
      </c>
      <c r="H68" s="122" t="s">
        <v>438</v>
      </c>
    </row>
    <row r="69" spans="2:18" ht="15.6">
      <c r="B69" s="120" t="s">
        <v>799</v>
      </c>
      <c r="C69" s="121" t="s">
        <v>814</v>
      </c>
      <c r="D69" s="125">
        <v>12300</v>
      </c>
      <c r="E69" s="123">
        <v>2001</v>
      </c>
      <c r="F69" s="124" t="s">
        <v>801</v>
      </c>
      <c r="G69" s="122" t="s">
        <v>802</v>
      </c>
      <c r="H69" s="122" t="s">
        <v>436</v>
      </c>
    </row>
    <row r="70" spans="2:18" ht="15.6">
      <c r="B70" s="120" t="s">
        <v>804</v>
      </c>
      <c r="C70" s="121" t="s">
        <v>815</v>
      </c>
      <c r="D70" s="125">
        <v>7800</v>
      </c>
      <c r="E70" s="123">
        <v>1995</v>
      </c>
      <c r="F70" s="124" t="s">
        <v>796</v>
      </c>
      <c r="G70" s="122" t="s">
        <v>802</v>
      </c>
      <c r="H70" s="122" t="s">
        <v>436</v>
      </c>
    </row>
    <row r="71" spans="2:18" ht="15.6">
      <c r="B71" s="120" t="s">
        <v>799</v>
      </c>
      <c r="C71" s="121" t="s">
        <v>816</v>
      </c>
      <c r="D71" s="125">
        <v>10200</v>
      </c>
      <c r="E71" s="123">
        <v>1990</v>
      </c>
      <c r="F71" s="124" t="s">
        <v>801</v>
      </c>
      <c r="G71" s="122" t="s">
        <v>806</v>
      </c>
      <c r="H71" s="122" t="s">
        <v>436</v>
      </c>
      <c r="J71" s="100" t="str" cm="1">
        <f t="array" ref="J71">TranslateMe(230)</f>
        <v>FILTER WITH WILDCARD</v>
      </c>
      <c r="K71" s="100"/>
      <c r="L71" s="100"/>
      <c r="M71" s="100"/>
      <c r="N71" s="100"/>
      <c r="O71" s="100"/>
      <c r="P71" s="100"/>
      <c r="Q71" s="100"/>
      <c r="R71" s="100"/>
    </row>
    <row r="72" spans="2:18" ht="15.6">
      <c r="B72" s="120" t="s">
        <v>804</v>
      </c>
      <c r="C72" s="121" t="s">
        <v>817</v>
      </c>
      <c r="D72" s="125">
        <v>6500</v>
      </c>
      <c r="E72" s="123">
        <v>1984</v>
      </c>
      <c r="F72" s="124" t="s">
        <v>796</v>
      </c>
      <c r="G72" s="122" t="s">
        <v>802</v>
      </c>
      <c r="H72" s="122" t="s">
        <v>436</v>
      </c>
      <c r="J72" t="str" cm="1">
        <f t="array" ref="J72">TranslateMe(231)</f>
        <v>Value to look for (in name)</v>
      </c>
      <c r="L72" s="166" t="s">
        <v>826</v>
      </c>
    </row>
    <row r="73" spans="2:18" ht="18">
      <c r="B73" s="120" t="s">
        <v>804</v>
      </c>
      <c r="C73" s="121" t="s">
        <v>818</v>
      </c>
      <c r="D73" s="125">
        <v>11000</v>
      </c>
      <c r="E73" s="123">
        <v>1966</v>
      </c>
      <c r="F73" s="124" t="s">
        <v>801</v>
      </c>
      <c r="G73" s="122" t="s">
        <v>802</v>
      </c>
      <c r="H73" s="122" t="s">
        <v>442</v>
      </c>
      <c r="J73" s="25" t="str">
        <f ca="1">_xlfn.FORMULATEXT(J74)</f>
        <v>=ISNUMBER(SEARCH($L$72;tbl_filtre[Employee]))</v>
      </c>
    </row>
    <row r="74" spans="2:18" ht="15.6">
      <c r="B74" s="120" t="s">
        <v>794</v>
      </c>
      <c r="C74" s="121" t="s">
        <v>819</v>
      </c>
      <c r="D74" s="125">
        <v>8900</v>
      </c>
      <c r="E74" s="123">
        <v>1961</v>
      </c>
      <c r="F74" s="124" t="s">
        <v>796</v>
      </c>
      <c r="G74" s="122" t="s">
        <v>802</v>
      </c>
      <c r="H74" s="122" t="s">
        <v>448</v>
      </c>
      <c r="J74" t="b" cm="1">
        <f t="array" ref="J74:J93">ISNUMBER(SEARCH($L$72,tbl_filtre[Employee]))</f>
        <v>0</v>
      </c>
    </row>
    <row r="75" spans="2:18" ht="18">
      <c r="B75" s="120" t="s">
        <v>794</v>
      </c>
      <c r="C75" s="121" t="s">
        <v>820</v>
      </c>
      <c r="D75" s="125">
        <v>13450</v>
      </c>
      <c r="E75" s="123">
        <v>1974</v>
      </c>
      <c r="F75" s="124" t="s">
        <v>801</v>
      </c>
      <c r="G75" s="122" t="s">
        <v>821</v>
      </c>
      <c r="H75" s="122" t="s">
        <v>436</v>
      </c>
      <c r="J75" t="b">
        <v>1</v>
      </c>
      <c r="L75" s="25" t="str">
        <f ca="1">_xlfn.FORMULATEXT(L76)</f>
        <v>=FILTER(tbl_filtre;J74#;"NOT FOUND")</v>
      </c>
    </row>
    <row r="76" spans="2:18" ht="15.6">
      <c r="B76" s="120" t="s">
        <v>794</v>
      </c>
      <c r="C76" s="121" t="s">
        <v>822</v>
      </c>
      <c r="D76" s="125">
        <v>13600</v>
      </c>
      <c r="E76" s="123">
        <v>1989</v>
      </c>
      <c r="F76" s="124" t="s">
        <v>796</v>
      </c>
      <c r="G76" s="122" t="s">
        <v>821</v>
      </c>
      <c r="H76" s="122" t="s">
        <v>436</v>
      </c>
      <c r="J76" t="b">
        <v>1</v>
      </c>
      <c r="L76" t="str" cm="1">
        <f t="array" ref="L76:R83">_xlfn._xlws.FILTER(tbl_filtre[],_xlfn.ANCHORARRAY(J74),"NOT FOUND")</f>
        <v>Marketing</v>
      </c>
      <c r="M76" t="str">
        <v>Lucas Martin</v>
      </c>
      <c r="N76">
        <v>5200</v>
      </c>
      <c r="O76">
        <v>2001</v>
      </c>
      <c r="P76" t="str">
        <v>M</v>
      </c>
      <c r="Q76" t="str">
        <v>Geneva</v>
      </c>
      <c r="R76" t="str">
        <v>Training</v>
      </c>
    </row>
    <row r="77" spans="2:18" ht="15.6">
      <c r="B77" s="120" t="s">
        <v>799</v>
      </c>
      <c r="C77" s="121" t="s">
        <v>823</v>
      </c>
      <c r="D77" s="125">
        <v>6800</v>
      </c>
      <c r="E77" s="123">
        <v>1984</v>
      </c>
      <c r="F77" s="124" t="s">
        <v>801</v>
      </c>
      <c r="G77" s="122" t="s">
        <v>821</v>
      </c>
      <c r="H77" s="122" t="s">
        <v>446</v>
      </c>
      <c r="J77" t="b">
        <v>0</v>
      </c>
      <c r="L77" t="str">
        <v>Sales</v>
      </c>
      <c r="M77" t="str">
        <v>Manon Lambert</v>
      </c>
      <c r="N77">
        <v>8500</v>
      </c>
      <c r="O77">
        <v>1998</v>
      </c>
      <c r="P77" t="str">
        <v>F</v>
      </c>
      <c r="Q77" t="str">
        <v>Berne</v>
      </c>
      <c r="R77" t="str">
        <v>Active</v>
      </c>
    </row>
    <row r="78" spans="2:18" ht="15.6">
      <c r="B78" s="120" t="s">
        <v>799</v>
      </c>
      <c r="C78" s="121" t="s">
        <v>824</v>
      </c>
      <c r="D78" s="125">
        <v>10300</v>
      </c>
      <c r="E78" s="123">
        <v>1998</v>
      </c>
      <c r="F78" s="124" t="s">
        <v>796</v>
      </c>
      <c r="G78" s="122" t="s">
        <v>802</v>
      </c>
      <c r="H78" s="122" t="s">
        <v>436</v>
      </c>
      <c r="J78" t="b">
        <v>1</v>
      </c>
      <c r="L78" t="str">
        <v>Finance</v>
      </c>
      <c r="M78" t="str">
        <v>Emma Garcia</v>
      </c>
      <c r="N78">
        <v>7300</v>
      </c>
      <c r="O78">
        <v>1987</v>
      </c>
      <c r="P78" t="str">
        <v>F</v>
      </c>
      <c r="Q78" t="str">
        <v>Geneva</v>
      </c>
      <c r="R78" t="str">
        <v>Active</v>
      </c>
    </row>
    <row r="79" spans="2:18" ht="15.6">
      <c r="B79" s="120" t="s">
        <v>794</v>
      </c>
      <c r="C79" s="121" t="s">
        <v>827</v>
      </c>
      <c r="D79" s="125">
        <v>7500</v>
      </c>
      <c r="E79" s="123">
        <v>2000</v>
      </c>
      <c r="F79" s="124" t="s">
        <v>801</v>
      </c>
      <c r="G79" s="122" t="s">
        <v>797</v>
      </c>
      <c r="H79" s="122" t="s">
        <v>436</v>
      </c>
      <c r="J79" t="b">
        <v>0</v>
      </c>
      <c r="L79" t="str">
        <v>Finance</v>
      </c>
      <c r="M79" t="str">
        <v>Maxime Robin</v>
      </c>
      <c r="N79">
        <v>13450</v>
      </c>
      <c r="O79">
        <v>1974</v>
      </c>
      <c r="P79" t="str">
        <v>M</v>
      </c>
      <c r="Q79" t="str">
        <v>Lausanne</v>
      </c>
      <c r="R79" t="str">
        <v>Active</v>
      </c>
    </row>
    <row r="80" spans="2:18">
      <c r="J80" t="b">
        <v>0</v>
      </c>
      <c r="L80" t="str">
        <v>Finance</v>
      </c>
      <c r="M80" t="str">
        <v>Sarah Thomas</v>
      </c>
      <c r="N80">
        <v>13600</v>
      </c>
      <c r="O80">
        <v>1989</v>
      </c>
      <c r="P80" t="str">
        <v>F</v>
      </c>
      <c r="Q80" t="str">
        <v>Lausanne</v>
      </c>
      <c r="R80" t="str">
        <v>Active</v>
      </c>
    </row>
    <row r="81" spans="2:18">
      <c r="J81" t="b">
        <v>0</v>
      </c>
      <c r="L81" t="str">
        <v>Marketing</v>
      </c>
      <c r="M81" t="str">
        <v>Mathis Leroux</v>
      </c>
      <c r="N81">
        <v>6800</v>
      </c>
      <c r="O81">
        <v>1984</v>
      </c>
      <c r="P81" t="str">
        <v>M</v>
      </c>
      <c r="Q81" t="str">
        <v>Lausanne</v>
      </c>
      <c r="R81" t="str">
        <v>Sick Leave</v>
      </c>
    </row>
    <row r="82" spans="2:18">
      <c r="J82" t="b">
        <v>0</v>
      </c>
      <c r="L82" t="str">
        <v>Marketing</v>
      </c>
      <c r="M82" t="str">
        <v>Inès Martinez</v>
      </c>
      <c r="N82">
        <v>10300</v>
      </c>
      <c r="O82">
        <v>1998</v>
      </c>
      <c r="P82" t="str">
        <v>F</v>
      </c>
      <c r="Q82" t="str">
        <v>Geneva</v>
      </c>
      <c r="R82" t="str">
        <v>Active</v>
      </c>
    </row>
    <row r="83" spans="2:18">
      <c r="J83" t="b">
        <v>0</v>
      </c>
      <c r="L83" t="str">
        <v>Finance</v>
      </c>
      <c r="M83" t="str">
        <v>Emma Gauthier</v>
      </c>
      <c r="N83">
        <v>7500</v>
      </c>
      <c r="O83">
        <v>2000</v>
      </c>
      <c r="P83" t="str">
        <v>M</v>
      </c>
      <c r="Q83" t="str">
        <v>Zurich</v>
      </c>
      <c r="R83" t="str">
        <v>Active</v>
      </c>
    </row>
    <row r="84" spans="2:18">
      <c r="J84" t="b">
        <v>0</v>
      </c>
    </row>
    <row r="85" spans="2:18">
      <c r="J85" t="b">
        <v>0</v>
      </c>
    </row>
    <row r="86" spans="2:18">
      <c r="J86" t="b">
        <v>0</v>
      </c>
    </row>
    <row r="87" spans="2:18">
      <c r="J87" t="b">
        <v>0</v>
      </c>
    </row>
    <row r="88" spans="2:18">
      <c r="B88" s="100" t="str" cm="1">
        <f t="array" ref="B88">TranslateMe(233)</f>
        <v>FILTER AND CHOOSE COLUMNS</v>
      </c>
      <c r="C88" s="100"/>
      <c r="D88" s="100"/>
      <c r="E88" s="100"/>
      <c r="F88" s="100"/>
      <c r="G88" s="100"/>
      <c r="H88" s="100"/>
      <c r="J88" t="b">
        <v>0</v>
      </c>
    </row>
    <row r="89" spans="2:18" ht="18">
      <c r="B89" s="25" t="str">
        <f ca="1">_xlfn.FORMULATEXT(B90)</f>
        <v>=FILTER(CHOOSECOLS(tbl_filtre;1;2;4;5);tbl_filtre[City]="Geneva";NotFound)</v>
      </c>
      <c r="J89" t="b">
        <v>1</v>
      </c>
    </row>
    <row r="90" spans="2:18">
      <c r="B90" t="str" cm="1">
        <f t="array" ref="B90:E99">_xlfn._xlws.FILTER(_xlfn.CHOOSECOLS(tbl_filtre[],1,2,4,5),tbl_filtre[City]="Geneva",NotFound)</f>
        <v>Marketing</v>
      </c>
      <c r="C90" t="str">
        <v>Lucas Martin</v>
      </c>
      <c r="D90">
        <v>2001</v>
      </c>
      <c r="E90" t="str">
        <v>M</v>
      </c>
      <c r="J90" t="b">
        <v>1</v>
      </c>
    </row>
    <row r="91" spans="2:18">
      <c r="B91" t="str">
        <v>Sales</v>
      </c>
      <c r="C91" t="str">
        <v>Hugo Dupont</v>
      </c>
      <c r="D91">
        <v>1965</v>
      </c>
      <c r="E91" t="str">
        <v>M</v>
      </c>
      <c r="J91" t="b">
        <v>1</v>
      </c>
    </row>
    <row r="92" spans="2:18">
      <c r="B92" t="str">
        <v>Finance</v>
      </c>
      <c r="C92" t="str">
        <v>Emma Garcia</v>
      </c>
      <c r="D92">
        <v>1987</v>
      </c>
      <c r="E92" t="str">
        <v>F</v>
      </c>
      <c r="J92" t="b">
        <v>1</v>
      </c>
    </row>
    <row r="93" spans="2:18">
      <c r="B93" t="str">
        <v>Finance</v>
      </c>
      <c r="C93" t="str">
        <v>Léa Rousseau</v>
      </c>
      <c r="D93">
        <v>1996</v>
      </c>
      <c r="E93" t="str">
        <v>ND</v>
      </c>
      <c r="J93" t="b">
        <v>1</v>
      </c>
    </row>
    <row r="94" spans="2:18">
      <c r="B94" t="str">
        <v>Marketing</v>
      </c>
      <c r="C94" t="str">
        <v>Enzo Moreau</v>
      </c>
      <c r="D94">
        <v>2001</v>
      </c>
      <c r="E94" t="str">
        <v>M</v>
      </c>
    </row>
    <row r="95" spans="2:18">
      <c r="B95" t="str">
        <v>Sales</v>
      </c>
      <c r="C95" t="str">
        <v>Clara Mercier</v>
      </c>
      <c r="D95">
        <v>1995</v>
      </c>
      <c r="E95" t="str">
        <v>F</v>
      </c>
    </row>
    <row r="96" spans="2:18">
      <c r="B96" t="str">
        <v>Sales</v>
      </c>
      <c r="C96" t="str">
        <v>Zoé Girard</v>
      </c>
      <c r="D96">
        <v>1984</v>
      </c>
      <c r="E96" t="str">
        <v>F</v>
      </c>
    </row>
    <row r="97" spans="2:6">
      <c r="B97" t="str">
        <v>Sales</v>
      </c>
      <c r="C97" t="str">
        <v>Gabriel Petit</v>
      </c>
      <c r="D97">
        <v>1966</v>
      </c>
      <c r="E97" t="str">
        <v>M</v>
      </c>
    </row>
    <row r="98" spans="2:6">
      <c r="B98" t="str">
        <v>Finance</v>
      </c>
      <c r="C98" t="str">
        <v>Jade Simon</v>
      </c>
      <c r="D98">
        <v>1961</v>
      </c>
      <c r="E98" t="str">
        <v>F</v>
      </c>
    </row>
    <row r="99" spans="2:6">
      <c r="B99" t="str">
        <v>Marketing</v>
      </c>
      <c r="C99" t="str">
        <v>Inès Martinez</v>
      </c>
      <c r="D99">
        <v>1998</v>
      </c>
      <c r="E99" t="str">
        <v>F</v>
      </c>
    </row>
    <row r="104" spans="2:6">
      <c r="F104"/>
    </row>
    <row r="105" spans="2:6">
      <c r="F105"/>
    </row>
    <row r="106" spans="2:6">
      <c r="F106"/>
    </row>
    <row r="107" spans="2:6">
      <c r="F107"/>
    </row>
    <row r="108" spans="2:6">
      <c r="F108"/>
    </row>
    <row r="109" spans="2:6">
      <c r="F109"/>
    </row>
    <row r="110" spans="2:6">
      <c r="F110"/>
    </row>
    <row r="111" spans="2:6">
      <c r="F111"/>
    </row>
    <row r="112" spans="2:6">
      <c r="F112"/>
    </row>
    <row r="113" spans="6:6">
      <c r="F113"/>
    </row>
    <row r="114" spans="6:6">
      <c r="F114"/>
    </row>
    <row r="115" spans="6:6">
      <c r="F115"/>
    </row>
    <row r="116" spans="6:6">
      <c r="F116"/>
    </row>
    <row r="117" spans="6:6">
      <c r="F117"/>
    </row>
    <row r="118" spans="6:6">
      <c r="F118"/>
    </row>
    <row r="119" spans="6:6">
      <c r="F119"/>
    </row>
    <row r="120" spans="6:6">
      <c r="F120"/>
    </row>
    <row r="121" spans="6:6">
      <c r="F121"/>
    </row>
    <row r="122" spans="6:6">
      <c r="F122"/>
    </row>
    <row r="123" spans="6:6">
      <c r="F123"/>
    </row>
    <row r="124" spans="6:6">
      <c r="F124"/>
    </row>
    <row r="125" spans="6:6">
      <c r="F125"/>
    </row>
    <row r="126" spans="6:6">
      <c r="F126"/>
    </row>
  </sheetData>
  <autoFilter ref="B5:H25" xr:uid="{1B988F57-E4B3-4829-B981-974FCA021638}"/>
  <mergeCells count="1">
    <mergeCell ref="A1:C2"/>
  </mergeCells>
  <dataValidations xWindow="539" yWindow="786" count="2">
    <dataValidation type="list" allowBlank="1" showInputMessage="1" showErrorMessage="1" sqref="H6:H25 H60:H79" xr:uid="{7A7B5DD2-DEA0-4BA0-8981-E98425817144}">
      <formula1>statusList</formula1>
    </dataValidation>
    <dataValidation type="list" allowBlank="1" showInputMessage="1" showErrorMessage="1" sqref="G6:G25 G60:G79" xr:uid="{67D25665-983D-4190-9AE2-EE9063757D0A}">
      <formula1>"Berne,Geneva,Lausanne,Zurich"</formula1>
    </dataValidation>
  </dataValidations>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395D4-6C8A-4AA0-BD00-3A866F00330D}">
  <sheetPr codeName="Sheet3">
    <tabColor theme="7"/>
  </sheetPr>
  <dimension ref="A1:W49"/>
  <sheetViews>
    <sheetView topLeftCell="A16" workbookViewId="0">
      <selection activeCell="J46" sqref="J46"/>
    </sheetView>
  </sheetViews>
  <sheetFormatPr defaultColWidth="11.44140625" defaultRowHeight="14.4"/>
  <cols>
    <col min="2" max="2" width="15.88671875" bestFit="1" customWidth="1"/>
    <col min="3" max="3" width="20.6640625" customWidth="1"/>
    <col min="4" max="4" width="15.33203125" customWidth="1"/>
    <col min="6" max="6" width="13.5546875" customWidth="1"/>
    <col min="7" max="7" width="15" customWidth="1"/>
    <col min="8" max="8" width="11.44140625" customWidth="1"/>
    <col min="9" max="9" width="21.44140625" customWidth="1"/>
    <col min="10" max="10" width="15.33203125" customWidth="1"/>
    <col min="11" max="11" width="15.109375" bestFit="1" customWidth="1"/>
    <col min="15" max="15" width="9" customWidth="1"/>
    <col min="16" max="16" width="15.5546875" customWidth="1"/>
    <col min="17" max="17" width="6" bestFit="1" customWidth="1"/>
  </cols>
  <sheetData>
    <row r="1" spans="1:23" s="188" customFormat="1" ht="28.5" customHeight="1">
      <c r="A1" s="235" t="str" cm="1">
        <f t="array" ref="A1">TranslateMe(16)</f>
        <v>SORT | SORTBY</v>
      </c>
      <c r="B1" s="235"/>
      <c r="C1" s="235"/>
      <c r="D1" s="235"/>
      <c r="E1" s="243" t="s">
        <v>1079</v>
      </c>
      <c r="F1" s="243"/>
      <c r="G1" s="243"/>
      <c r="H1" s="243"/>
      <c r="I1" s="190"/>
      <c r="J1" s="190"/>
      <c r="K1" s="190"/>
      <c r="L1" s="190"/>
      <c r="M1" s="190"/>
      <c r="N1" s="190"/>
      <c r="O1" s="189"/>
      <c r="Q1" s="189"/>
    </row>
    <row r="2" spans="1:23" s="188" customFormat="1" ht="21.75" customHeight="1" thickBot="1">
      <c r="A2" s="236"/>
      <c r="B2" s="236"/>
      <c r="C2" s="236"/>
      <c r="D2" s="236"/>
      <c r="E2" s="243" t="s">
        <v>1080</v>
      </c>
      <c r="F2" s="244"/>
      <c r="G2" s="244"/>
      <c r="H2" s="244"/>
      <c r="I2" s="191"/>
      <c r="J2" s="191"/>
      <c r="K2" s="191"/>
      <c r="L2" s="191"/>
      <c r="M2" s="191"/>
      <c r="N2" s="191"/>
      <c r="O2" s="189"/>
      <c r="Q2" s="189"/>
    </row>
    <row r="3" spans="1:23" s="186" customFormat="1" ht="12.75" customHeight="1">
      <c r="A3" s="192"/>
      <c r="M3" s="187"/>
      <c r="O3" s="187"/>
      <c r="Q3" s="187"/>
      <c r="S3" s="187"/>
      <c r="U3" s="187"/>
      <c r="W3" s="187"/>
    </row>
    <row r="4" spans="1:23" s="141" customFormat="1" ht="23.4">
      <c r="E4" s="96" t="str" cm="1">
        <f t="array" ref="E4">Translatefct(20,0)</f>
        <v>SORT</v>
      </c>
      <c r="F4" s="141" t="str" cm="1">
        <f t="array" ref="F4">Translatefct(20,1)</f>
        <v>Sorts the contents of an array or range.</v>
      </c>
      <c r="J4" s="96" t="str" cm="1">
        <f t="array" ref="J4">Translatefct(30,0)</f>
        <v>SORTBY</v>
      </c>
      <c r="K4" s="141" t="str" cm="1">
        <f t="array" ref="K4">Translatefct(30,1)</f>
        <v>Sorts an array based on the values in a corresponding array.</v>
      </c>
    </row>
    <row r="5" spans="1:23" ht="15.6">
      <c r="B5" s="153" t="str" cm="1">
        <f t="array" ref="B5">txt_dpt</f>
        <v>Department</v>
      </c>
      <c r="C5" s="153" t="str" cm="1">
        <f t="array" ref="C5">txt_Employe</f>
        <v>Employee</v>
      </c>
      <c r="D5" s="153" t="str" cm="1">
        <f t="array" ref="D5">txt_salaire</f>
        <v>Salary</v>
      </c>
      <c r="F5" s="153" t="str" cm="1">
        <f t="array" ref="F5">"A "&amp;TranslateMe(213)</f>
        <v>A Sort a Table on salary ASC</v>
      </c>
      <c r="G5" s="153"/>
      <c r="H5" s="153"/>
      <c r="J5" s="153" t="str" cm="1">
        <f t="array" ref="J5">"B "&amp;TranslateMe(214)</f>
        <v>B Multi-column sort</v>
      </c>
      <c r="K5" s="153"/>
      <c r="L5" s="153"/>
      <c r="O5" s="245" t="s">
        <v>1081</v>
      </c>
      <c r="P5" s="246"/>
      <c r="Q5" s="247"/>
    </row>
    <row r="6" spans="1:23" ht="15.75" customHeight="1">
      <c r="B6" t="s">
        <v>794</v>
      </c>
      <c r="C6" s="1" t="s">
        <v>795</v>
      </c>
      <c r="D6" s="2">
        <v>5000</v>
      </c>
      <c r="F6" s="25" t="str">
        <f ca="1">_xlfn.FORMULATEXT(F7)</f>
        <v>=SORT(B6:D25;3;1)</v>
      </c>
      <c r="J6" s="25" t="str">
        <f ca="1">_xlfn.FORMULATEXT(J7)</f>
        <v>=SORTBY(F7#;F7:F26;1;G7:G26;1)</v>
      </c>
      <c r="O6" s="25" t="str">
        <f ca="1">_xlfn.FORMULATEXT(O7)</f>
        <v>=SORT(FILTER(B6:D25;B6:B25='50. FILTER'!$K$5);3;-1)</v>
      </c>
    </row>
    <row r="7" spans="1:23" ht="22.5" customHeight="1">
      <c r="B7" t="s">
        <v>799</v>
      </c>
      <c r="C7" s="1" t="s">
        <v>800</v>
      </c>
      <c r="D7" s="2">
        <v>6200</v>
      </c>
      <c r="F7" s="104" t="str" cm="1">
        <f t="array" ref="F7:H26">_xlfn._xlws.SORT(B6:D25,3,1)</f>
        <v>Finance</v>
      </c>
      <c r="G7" s="104" t="str">
        <v>Léa Rousseau</v>
      </c>
      <c r="H7" s="104">
        <v>4900</v>
      </c>
      <c r="J7" s="104" t="str" cm="1">
        <f t="array" ref="J7:L26">_xlfn.SORTBY(_xlfn.ANCHORARRAY(F7),F7:F26,1,G7:G26,1)</f>
        <v>Finance</v>
      </c>
      <c r="K7" s="104" t="str">
        <v>Camille Dubois</v>
      </c>
      <c r="L7" s="104">
        <v>5000</v>
      </c>
      <c r="O7" t="str" cm="1">
        <f t="array" ref="O7:Q14">_xlfn._xlws.SORT(_xlfn._xlws.FILTER(B6:D25,B6:B25='50. FILTER'!$K$5),3,-1)</f>
        <v>Finance</v>
      </c>
      <c r="P7" t="str">
        <v>Ethan Gauthier</v>
      </c>
      <c r="Q7">
        <v>17500</v>
      </c>
    </row>
    <row r="8" spans="1:23">
      <c r="B8" t="s">
        <v>828</v>
      </c>
      <c r="C8" s="1" t="s">
        <v>805</v>
      </c>
      <c r="D8" s="2">
        <v>8500</v>
      </c>
      <c r="F8" s="104" t="str">
        <v>Finance</v>
      </c>
      <c r="G8" s="104" t="str">
        <v>Camille Dubois</v>
      </c>
      <c r="H8" s="104">
        <v>5000</v>
      </c>
      <c r="J8" s="104" t="str">
        <v>Finance</v>
      </c>
      <c r="K8" s="104" t="str">
        <v>Emma Garcia</v>
      </c>
      <c r="L8" s="104">
        <v>7300</v>
      </c>
      <c r="O8" t="str">
        <v>Finance</v>
      </c>
      <c r="P8" t="str">
        <v>Maxime Robin</v>
      </c>
      <c r="Q8">
        <v>13450</v>
      </c>
    </row>
    <row r="9" spans="1:23">
      <c r="B9" t="s">
        <v>828</v>
      </c>
      <c r="C9" s="1" t="s">
        <v>807</v>
      </c>
      <c r="D9" s="2">
        <v>9800</v>
      </c>
      <c r="F9" s="104" t="str">
        <v>Marketing</v>
      </c>
      <c r="G9" s="104" t="str">
        <v>Lucas Martin</v>
      </c>
      <c r="H9" s="104">
        <v>6200</v>
      </c>
      <c r="J9" s="104" t="str">
        <v>Finance</v>
      </c>
      <c r="K9" s="104" t="str">
        <v>Ethan Gauthier</v>
      </c>
      <c r="L9" s="104">
        <v>17500</v>
      </c>
      <c r="O9" t="str">
        <v>Finance</v>
      </c>
      <c r="P9" t="str">
        <v>Nathan Leroy</v>
      </c>
      <c r="Q9">
        <v>11750</v>
      </c>
    </row>
    <row r="10" spans="1:23">
      <c r="B10" t="s">
        <v>794</v>
      </c>
      <c r="C10" s="1" t="s">
        <v>808</v>
      </c>
      <c r="D10" s="2">
        <v>7300</v>
      </c>
      <c r="F10" s="104" t="str">
        <v>Ventes</v>
      </c>
      <c r="G10" s="104" t="str">
        <v>Zoé Girard</v>
      </c>
      <c r="H10" s="104">
        <v>6500</v>
      </c>
      <c r="J10" s="104" t="str">
        <v>Finance</v>
      </c>
      <c r="K10" s="104" t="str">
        <v>Jade Simon</v>
      </c>
      <c r="L10" s="104">
        <v>8900</v>
      </c>
      <c r="O10" t="str">
        <v>Finance</v>
      </c>
      <c r="P10" t="str">
        <v>Sarah Thomas</v>
      </c>
      <c r="Q10">
        <v>11600</v>
      </c>
    </row>
    <row r="11" spans="1:23">
      <c r="B11" t="s">
        <v>828</v>
      </c>
      <c r="C11" s="1" t="s">
        <v>809</v>
      </c>
      <c r="D11" s="2">
        <v>10600</v>
      </c>
      <c r="F11" s="104" t="str">
        <v>Finance</v>
      </c>
      <c r="G11" s="104" t="str">
        <v>Emma Garcia</v>
      </c>
      <c r="H11" s="104">
        <v>7300</v>
      </c>
      <c r="J11" s="104" t="str">
        <v>Finance</v>
      </c>
      <c r="K11" s="104" t="str">
        <v>Léa Rousseau</v>
      </c>
      <c r="L11" s="104">
        <v>4900</v>
      </c>
      <c r="O11" t="str">
        <v>Finance</v>
      </c>
      <c r="P11" t="str">
        <v>Jade Simon</v>
      </c>
      <c r="Q11">
        <v>8900</v>
      </c>
    </row>
    <row r="12" spans="1:23">
      <c r="B12" t="s">
        <v>794</v>
      </c>
      <c r="C12" s="1" t="s">
        <v>810</v>
      </c>
      <c r="D12" s="2">
        <v>4900</v>
      </c>
      <c r="F12" s="104" t="str">
        <v>Ventes</v>
      </c>
      <c r="G12" s="104" t="str">
        <v>Clara Mercier</v>
      </c>
      <c r="H12" s="104">
        <v>7800</v>
      </c>
      <c r="J12" s="104" t="str">
        <v>Finance</v>
      </c>
      <c r="K12" s="104" t="str">
        <v>Maxime Robin</v>
      </c>
      <c r="L12" s="104">
        <v>13450</v>
      </c>
      <c r="O12" t="str">
        <v>Finance</v>
      </c>
      <c r="P12" t="str">
        <v>Emma Garcia</v>
      </c>
      <c r="Q12">
        <v>7300</v>
      </c>
    </row>
    <row r="13" spans="1:23">
      <c r="B13" t="s">
        <v>794</v>
      </c>
      <c r="C13" s="1" t="s">
        <v>812</v>
      </c>
      <c r="D13" s="2">
        <v>11750</v>
      </c>
      <c r="F13" s="104" t="str">
        <v>Ventes</v>
      </c>
      <c r="G13" s="104" t="str">
        <v>Manon Lambert</v>
      </c>
      <c r="H13" s="104">
        <v>8500</v>
      </c>
      <c r="J13" s="104" t="str">
        <v>Finance</v>
      </c>
      <c r="K13" s="104" t="str">
        <v>Nathan Leroy</v>
      </c>
      <c r="L13" s="104">
        <v>11750</v>
      </c>
      <c r="O13" t="str">
        <v>Finance</v>
      </c>
      <c r="P13" t="str">
        <v>Camille Dubois</v>
      </c>
      <c r="Q13">
        <v>5000</v>
      </c>
    </row>
    <row r="14" spans="1:23">
      <c r="B14" t="s">
        <v>828</v>
      </c>
      <c r="C14" s="1" t="s">
        <v>813</v>
      </c>
      <c r="D14" s="2">
        <v>9100</v>
      </c>
      <c r="F14" s="104" t="str">
        <v>Finance</v>
      </c>
      <c r="G14" s="104" t="str">
        <v>Jade Simon</v>
      </c>
      <c r="H14" s="104">
        <v>8900</v>
      </c>
      <c r="J14" s="104" t="str">
        <v>Finance</v>
      </c>
      <c r="K14" s="104" t="str">
        <v>Sarah Thomas</v>
      </c>
      <c r="L14" s="104">
        <v>11600</v>
      </c>
      <c r="O14" t="str">
        <v>Finance</v>
      </c>
      <c r="P14" t="str">
        <v>Léa Rousseau</v>
      </c>
      <c r="Q14">
        <v>4900</v>
      </c>
    </row>
    <row r="15" spans="1:23">
      <c r="B15" t="s">
        <v>799</v>
      </c>
      <c r="C15" s="1" t="s">
        <v>814</v>
      </c>
      <c r="D15" s="2">
        <v>12300</v>
      </c>
      <c r="F15" s="104" t="str">
        <v>Ventes</v>
      </c>
      <c r="G15" s="104" t="str">
        <v>Chloé Lefebvre</v>
      </c>
      <c r="H15" s="104">
        <v>9100</v>
      </c>
      <c r="J15" s="104" t="str">
        <v>Marketing</v>
      </c>
      <c r="K15" s="104" t="str">
        <v>Enzo Moreau</v>
      </c>
      <c r="L15" s="104">
        <v>12300</v>
      </c>
    </row>
    <row r="16" spans="1:23">
      <c r="B16" t="s">
        <v>828</v>
      </c>
      <c r="C16" s="1" t="s">
        <v>815</v>
      </c>
      <c r="D16" s="2">
        <v>7800</v>
      </c>
      <c r="F16" s="104" t="str">
        <v>Ventes</v>
      </c>
      <c r="G16" s="104" t="str">
        <v>Hugo Dupont</v>
      </c>
      <c r="H16" s="104">
        <v>9800</v>
      </c>
      <c r="J16" s="104" t="str">
        <v>Marketing</v>
      </c>
      <c r="K16" s="104" t="str">
        <v>Inès Martinez</v>
      </c>
      <c r="L16" s="104">
        <v>10300</v>
      </c>
    </row>
    <row r="17" spans="1:12">
      <c r="B17" t="s">
        <v>799</v>
      </c>
      <c r="C17" s="1" t="s">
        <v>816</v>
      </c>
      <c r="D17" s="2">
        <v>15200</v>
      </c>
      <c r="F17" s="104" t="str">
        <v>Marketing</v>
      </c>
      <c r="G17" s="104" t="str">
        <v>Inès Martinez</v>
      </c>
      <c r="H17" s="104">
        <v>10300</v>
      </c>
      <c r="J17" s="104" t="str">
        <v>Marketing</v>
      </c>
      <c r="K17" s="104" t="str">
        <v>Lucas Martin</v>
      </c>
      <c r="L17" s="104">
        <v>6200</v>
      </c>
    </row>
    <row r="18" spans="1:12">
      <c r="B18" t="s">
        <v>828</v>
      </c>
      <c r="C18" s="1" t="s">
        <v>817</v>
      </c>
      <c r="D18" s="2">
        <v>6500</v>
      </c>
      <c r="F18" s="104" t="str">
        <v>Ventes</v>
      </c>
      <c r="G18" s="104" t="str">
        <v>Louis Chevalier</v>
      </c>
      <c r="H18" s="104">
        <v>10600</v>
      </c>
      <c r="J18" s="104" t="str">
        <v>Marketing</v>
      </c>
      <c r="K18" s="104" t="str">
        <v>Mathis Leroux</v>
      </c>
      <c r="L18" s="104">
        <v>16800</v>
      </c>
    </row>
    <row r="19" spans="1:12">
      <c r="B19" t="s">
        <v>828</v>
      </c>
      <c r="C19" s="1" t="s">
        <v>818</v>
      </c>
      <c r="D19" s="2">
        <v>14000</v>
      </c>
      <c r="F19" s="104" t="str">
        <v>Finance</v>
      </c>
      <c r="G19" s="104" t="str">
        <v>Sarah Thomas</v>
      </c>
      <c r="H19" s="104">
        <v>11600</v>
      </c>
      <c r="J19" s="104" t="str">
        <v>Marketing</v>
      </c>
      <c r="K19" s="104" t="str">
        <v>Théo Laurent</v>
      </c>
      <c r="L19" s="104">
        <v>15200</v>
      </c>
    </row>
    <row r="20" spans="1:12">
      <c r="B20" t="s">
        <v>794</v>
      </c>
      <c r="C20" s="1" t="s">
        <v>819</v>
      </c>
      <c r="D20" s="2">
        <v>8900</v>
      </c>
      <c r="F20" s="104" t="str">
        <v>Finance</v>
      </c>
      <c r="G20" s="104" t="str">
        <v>Nathan Leroy</v>
      </c>
      <c r="H20" s="104">
        <v>11750</v>
      </c>
      <c r="J20" s="104" t="str">
        <v>Ventes</v>
      </c>
      <c r="K20" s="104" t="str">
        <v>Chloé Lefebvre</v>
      </c>
      <c r="L20" s="104">
        <v>9100</v>
      </c>
    </row>
    <row r="21" spans="1:12">
      <c r="B21" t="s">
        <v>794</v>
      </c>
      <c r="C21" s="1" t="s">
        <v>820</v>
      </c>
      <c r="D21" s="2">
        <v>13450</v>
      </c>
      <c r="F21" s="104" t="str">
        <v>Marketing</v>
      </c>
      <c r="G21" s="104" t="str">
        <v>Enzo Moreau</v>
      </c>
      <c r="H21" s="104">
        <v>12300</v>
      </c>
      <c r="J21" s="104" t="str">
        <v>Ventes</v>
      </c>
      <c r="K21" s="104" t="str">
        <v>Clara Mercier</v>
      </c>
      <c r="L21" s="104">
        <v>7800</v>
      </c>
    </row>
    <row r="22" spans="1:12">
      <c r="B22" t="s">
        <v>794</v>
      </c>
      <c r="C22" s="1" t="s">
        <v>822</v>
      </c>
      <c r="D22" s="2">
        <v>11600</v>
      </c>
      <c r="F22" s="104" t="str">
        <v>Finance</v>
      </c>
      <c r="G22" s="104" t="str">
        <v>Maxime Robin</v>
      </c>
      <c r="H22" s="104">
        <v>13450</v>
      </c>
      <c r="J22" s="104" t="str">
        <v>Ventes</v>
      </c>
      <c r="K22" s="104" t="str">
        <v>Gabriel Petit</v>
      </c>
      <c r="L22" s="104">
        <v>14000</v>
      </c>
    </row>
    <row r="23" spans="1:12">
      <c r="B23" t="s">
        <v>799</v>
      </c>
      <c r="C23" s="1" t="s">
        <v>823</v>
      </c>
      <c r="D23" s="2">
        <v>16800</v>
      </c>
      <c r="F23" s="104" t="str">
        <v>Ventes</v>
      </c>
      <c r="G23" s="104" t="str">
        <v>Gabriel Petit</v>
      </c>
      <c r="H23" s="104">
        <v>14000</v>
      </c>
      <c r="J23" s="104" t="str">
        <v>Ventes</v>
      </c>
      <c r="K23" s="104" t="str">
        <v>Hugo Dupont</v>
      </c>
      <c r="L23" s="104">
        <v>9800</v>
      </c>
    </row>
    <row r="24" spans="1:12">
      <c r="B24" t="s">
        <v>799</v>
      </c>
      <c r="C24" s="1" t="s">
        <v>824</v>
      </c>
      <c r="D24" s="2">
        <v>10300</v>
      </c>
      <c r="F24" s="104" t="str">
        <v>Marketing</v>
      </c>
      <c r="G24" s="104" t="str">
        <v>Théo Laurent</v>
      </c>
      <c r="H24" s="104">
        <v>15200</v>
      </c>
      <c r="J24" s="104" t="str">
        <v>Ventes</v>
      </c>
      <c r="K24" s="104" t="str">
        <v>Louis Chevalier</v>
      </c>
      <c r="L24" s="104">
        <v>10600</v>
      </c>
    </row>
    <row r="25" spans="1:12">
      <c r="B25" t="s">
        <v>794</v>
      </c>
      <c r="C25" s="1" t="s">
        <v>825</v>
      </c>
      <c r="D25" s="2">
        <v>17500</v>
      </c>
      <c r="F25" s="104" t="str">
        <v>Marketing</v>
      </c>
      <c r="G25" s="104" t="str">
        <v>Mathis Leroux</v>
      </c>
      <c r="H25" s="104">
        <v>16800</v>
      </c>
      <c r="J25" s="104" t="str">
        <v>Ventes</v>
      </c>
      <c r="K25" s="104" t="str">
        <v>Manon Lambert</v>
      </c>
      <c r="L25" s="104">
        <v>8500</v>
      </c>
    </row>
    <row r="26" spans="1:12">
      <c r="C26" s="1"/>
      <c r="D26" s="2"/>
      <c r="F26" s="104" t="str">
        <v>Finance</v>
      </c>
      <c r="G26" s="104" t="str">
        <v>Ethan Gauthier</v>
      </c>
      <c r="H26" s="104">
        <v>17500</v>
      </c>
      <c r="J26" s="104" t="str">
        <v>Ventes</v>
      </c>
      <c r="K26" s="104" t="str">
        <v>Zoé Girard</v>
      </c>
      <c r="L26" s="104">
        <v>6500</v>
      </c>
    </row>
    <row r="27" spans="1:12">
      <c r="I27" t="str">
        <f t="shared" ref="I27" si="0">LEFT(G27,1)</f>
        <v/>
      </c>
    </row>
    <row r="28" spans="1:12" ht="15.6">
      <c r="F28" s="153" t="str" cm="1">
        <f t="array" ref="F28">TranslateMe(215)</f>
        <v>Sorting the salary column DESC</v>
      </c>
      <c r="G28" s="153"/>
      <c r="H28" s="153"/>
    </row>
    <row r="29" spans="1:12" ht="18">
      <c r="A29" s="25" t="str">
        <f ca="1">_xlfn.FORMULATEXT(A30)</f>
        <v>=UNIQUE(B6:B24)</v>
      </c>
      <c r="C29" s="25" t="str">
        <f ca="1">_xlfn.FORMULATEXT(C30)</f>
        <v>=SORT(A30#)</v>
      </c>
      <c r="F29" s="25" t="str">
        <f ca="1">_xlfn.FORMULATEXT(F30)</f>
        <v>=SORT(B6:D25;3;-1)</v>
      </c>
    </row>
    <row r="30" spans="1:12">
      <c r="A30" t="str" cm="1">
        <f t="array" ref="A30:A32">_xlfn.UNIQUE(B6:B24)</f>
        <v>Finance</v>
      </c>
      <c r="C30" t="str" cm="1">
        <f t="array" ref="C30:C32">_xlfn._xlws.SORT(_xlfn.ANCHORARRAY(A30))</f>
        <v>Finance</v>
      </c>
      <c r="F30" s="104" t="str" cm="1">
        <f t="array" ref="F30:H49">_xlfn._xlws.SORT(B6:D25,3,-1)</f>
        <v>Finance</v>
      </c>
      <c r="G30" s="104" t="str">
        <v>Ethan Gauthier</v>
      </c>
      <c r="H30" s="104">
        <v>17500</v>
      </c>
    </row>
    <row r="31" spans="1:12">
      <c r="A31" t="str">
        <v>Marketing</v>
      </c>
      <c r="C31" t="str">
        <v>Marketing</v>
      </c>
      <c r="F31" s="104" t="str">
        <v>Marketing</v>
      </c>
      <c r="G31" s="104" t="str">
        <v>Mathis Leroux</v>
      </c>
      <c r="H31" s="104">
        <v>16800</v>
      </c>
    </row>
    <row r="32" spans="1:12">
      <c r="A32" t="str">
        <v>Ventes</v>
      </c>
      <c r="C32" t="str">
        <v>Ventes</v>
      </c>
      <c r="F32" s="104" t="str">
        <v>Marketing</v>
      </c>
      <c r="G32" s="104" t="str">
        <v>Théo Laurent</v>
      </c>
      <c r="H32" s="104">
        <v>15200</v>
      </c>
    </row>
    <row r="33" spans="6:8">
      <c r="F33" s="104" t="str">
        <v>Ventes</v>
      </c>
      <c r="G33" s="104" t="str">
        <v>Gabriel Petit</v>
      </c>
      <c r="H33" s="104">
        <v>14000</v>
      </c>
    </row>
    <row r="34" spans="6:8">
      <c r="F34" s="104" t="str">
        <v>Finance</v>
      </c>
      <c r="G34" s="104" t="str">
        <v>Maxime Robin</v>
      </c>
      <c r="H34" s="104">
        <v>13450</v>
      </c>
    </row>
    <row r="35" spans="6:8">
      <c r="F35" s="104" t="str">
        <v>Marketing</v>
      </c>
      <c r="G35" s="104" t="str">
        <v>Enzo Moreau</v>
      </c>
      <c r="H35" s="104">
        <v>12300</v>
      </c>
    </row>
    <row r="36" spans="6:8">
      <c r="F36" s="104" t="str">
        <v>Finance</v>
      </c>
      <c r="G36" s="104" t="str">
        <v>Nathan Leroy</v>
      </c>
      <c r="H36" s="104">
        <v>11750</v>
      </c>
    </row>
    <row r="37" spans="6:8">
      <c r="F37" s="104" t="str">
        <v>Finance</v>
      </c>
      <c r="G37" s="104" t="str">
        <v>Sarah Thomas</v>
      </c>
      <c r="H37" s="104">
        <v>11600</v>
      </c>
    </row>
    <row r="38" spans="6:8">
      <c r="F38" s="104" t="str">
        <v>Ventes</v>
      </c>
      <c r="G38" s="104" t="str">
        <v>Louis Chevalier</v>
      </c>
      <c r="H38" s="104">
        <v>10600</v>
      </c>
    </row>
    <row r="39" spans="6:8">
      <c r="F39" s="104" t="str">
        <v>Marketing</v>
      </c>
      <c r="G39" s="104" t="str">
        <v>Inès Martinez</v>
      </c>
      <c r="H39" s="104">
        <v>10300</v>
      </c>
    </row>
    <row r="40" spans="6:8">
      <c r="F40" s="104" t="str">
        <v>Ventes</v>
      </c>
      <c r="G40" s="104" t="str">
        <v>Hugo Dupont</v>
      </c>
      <c r="H40" s="104">
        <v>9800</v>
      </c>
    </row>
    <row r="41" spans="6:8">
      <c r="F41" s="104" t="str">
        <v>Ventes</v>
      </c>
      <c r="G41" s="104" t="str">
        <v>Chloé Lefebvre</v>
      </c>
      <c r="H41" s="104">
        <v>9100</v>
      </c>
    </row>
    <row r="42" spans="6:8">
      <c r="F42" s="104" t="str">
        <v>Finance</v>
      </c>
      <c r="G42" s="104" t="str">
        <v>Jade Simon</v>
      </c>
      <c r="H42" s="104">
        <v>8900</v>
      </c>
    </row>
    <row r="43" spans="6:8">
      <c r="F43" s="104" t="str">
        <v>Ventes</v>
      </c>
      <c r="G43" s="104" t="str">
        <v>Manon Lambert</v>
      </c>
      <c r="H43" s="104">
        <v>8500</v>
      </c>
    </row>
    <row r="44" spans="6:8">
      <c r="F44" s="104" t="str">
        <v>Ventes</v>
      </c>
      <c r="G44" s="104" t="str">
        <v>Clara Mercier</v>
      </c>
      <c r="H44" s="104">
        <v>7800</v>
      </c>
    </row>
    <row r="45" spans="6:8">
      <c r="F45" s="104" t="str">
        <v>Finance</v>
      </c>
      <c r="G45" s="104" t="str">
        <v>Emma Garcia</v>
      </c>
      <c r="H45" s="104">
        <v>7300</v>
      </c>
    </row>
    <row r="46" spans="6:8">
      <c r="F46" s="104" t="str">
        <v>Ventes</v>
      </c>
      <c r="G46" s="104" t="str">
        <v>Zoé Girard</v>
      </c>
      <c r="H46" s="104">
        <v>6500</v>
      </c>
    </row>
    <row r="47" spans="6:8">
      <c r="F47" s="104" t="str">
        <v>Marketing</v>
      </c>
      <c r="G47" s="104" t="str">
        <v>Lucas Martin</v>
      </c>
      <c r="H47" s="104">
        <v>6200</v>
      </c>
    </row>
    <row r="48" spans="6:8">
      <c r="F48" s="104" t="str">
        <v>Finance</v>
      </c>
      <c r="G48" s="104" t="str">
        <v>Camille Dubois</v>
      </c>
      <c r="H48" s="104">
        <v>5000</v>
      </c>
    </row>
    <row r="49" spans="6:8">
      <c r="F49" s="104" t="str">
        <v>Finance</v>
      </c>
      <c r="G49" s="104" t="str">
        <v>Léa Rousseau</v>
      </c>
      <c r="H49" s="104">
        <v>4900</v>
      </c>
    </row>
  </sheetData>
  <mergeCells count="2">
    <mergeCell ref="A1:D2"/>
    <mergeCell ref="O5:Q5"/>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2F60C-779F-416D-9CAD-B82EF0600BCB}">
  <sheetPr codeName="Sheet16">
    <tabColor theme="7"/>
  </sheetPr>
  <dimension ref="A1:W36"/>
  <sheetViews>
    <sheetView zoomScale="85" zoomScaleNormal="85" workbookViewId="0">
      <selection activeCell="O34" sqref="O34"/>
    </sheetView>
  </sheetViews>
  <sheetFormatPr defaultColWidth="9.109375" defaultRowHeight="18"/>
  <cols>
    <col min="2" max="2" width="7" style="9" customWidth="1"/>
    <col min="3" max="3" width="24.109375" style="9" bestFit="1" customWidth="1"/>
    <col min="4" max="4" width="27.109375" style="9" bestFit="1" customWidth="1"/>
    <col min="6" max="6" width="42.6640625" customWidth="1"/>
    <col min="7" max="7" width="23.33203125" bestFit="1" customWidth="1"/>
    <col min="8" max="8" width="38.88671875" customWidth="1"/>
    <col min="11" max="11" width="18.109375" customWidth="1"/>
    <col min="17" max="17" width="9.5546875" bestFit="1" customWidth="1"/>
  </cols>
  <sheetData>
    <row r="1" spans="1:23" s="188" customFormat="1" ht="28.5" customHeight="1">
      <c r="A1" s="235" t="str" cm="1">
        <f t="array" ref="A1">TranslateMe(17)</f>
        <v>INDEX | XMATCH | OFFSET</v>
      </c>
      <c r="B1" s="235"/>
      <c r="C1" s="235"/>
      <c r="D1" s="235"/>
      <c r="E1" s="235"/>
      <c r="F1" s="235"/>
      <c r="G1" s="235"/>
      <c r="H1" s="190"/>
      <c r="I1" s="190"/>
      <c r="J1" s="190"/>
      <c r="K1" s="190"/>
      <c r="L1" s="190"/>
      <c r="M1" s="190"/>
      <c r="N1" s="190"/>
      <c r="O1" s="189"/>
      <c r="Q1" s="189"/>
    </row>
    <row r="2" spans="1:23" s="188" customFormat="1" ht="21.75" customHeight="1" thickBot="1">
      <c r="A2" s="236"/>
      <c r="B2" s="236"/>
      <c r="C2" s="236"/>
      <c r="D2" s="236"/>
      <c r="E2" s="236"/>
      <c r="F2" s="236"/>
      <c r="G2" s="236"/>
      <c r="H2" s="191"/>
      <c r="I2" s="191"/>
      <c r="J2" s="191"/>
      <c r="K2" s="191"/>
      <c r="L2" s="191"/>
      <c r="M2" s="191"/>
      <c r="N2" s="191"/>
      <c r="O2" s="189"/>
      <c r="Q2" s="189"/>
    </row>
    <row r="3" spans="1:23" s="186" customFormat="1" ht="12.75" customHeight="1">
      <c r="A3" s="192"/>
      <c r="M3" s="187"/>
      <c r="O3" s="187"/>
      <c r="Q3" s="187"/>
      <c r="S3" s="187"/>
      <c r="U3" s="187"/>
      <c r="W3" s="187"/>
    </row>
    <row r="4" spans="1:23">
      <c r="B4" s="153" t="s">
        <v>453</v>
      </c>
      <c r="C4" s="153" t="s">
        <v>829</v>
      </c>
      <c r="D4" s="153" t="s">
        <v>830</v>
      </c>
      <c r="F4" s="29" t="str" cm="1">
        <f t="array" ref="F4">TranslateMe(218)</f>
        <v>COL</v>
      </c>
      <c r="G4" s="105">
        <v>17</v>
      </c>
    </row>
    <row r="5" spans="1:23">
      <c r="B5" s="9">
        <v>1</v>
      </c>
      <c r="C5" s="9" t="s">
        <v>831</v>
      </c>
      <c r="D5" s="9" t="s">
        <v>832</v>
      </c>
      <c r="F5" s="29" t="str" cm="1">
        <f t="array" ref="F5">TranslateMe(217)</f>
        <v>ROW</v>
      </c>
      <c r="G5" s="105">
        <v>3</v>
      </c>
    </row>
    <row r="6" spans="1:23" ht="33.6">
      <c r="B6" s="9">
        <v>2</v>
      </c>
      <c r="C6" s="9" t="s">
        <v>833</v>
      </c>
      <c r="D6" s="9" t="s">
        <v>834</v>
      </c>
      <c r="F6" s="95" t="str" cm="1">
        <f t="array" ref="F6">"A. "&amp;Translatefct(830,0)</f>
        <v>A. INDEX</v>
      </c>
      <c r="G6" s="147" t="str" cm="1">
        <f t="array" ref="G6">Translatefct(830,1)</f>
        <v>Returns the value of a cell at the intersection of a row and column in a range.</v>
      </c>
      <c r="H6" s="95"/>
      <c r="I6" s="95"/>
      <c r="J6" s="95"/>
      <c r="K6" s="95"/>
      <c r="L6" s="95"/>
      <c r="M6" s="95"/>
      <c r="N6" s="95"/>
      <c r="O6" s="95"/>
      <c r="P6" s="95"/>
    </row>
    <row r="7" spans="1:23">
      <c r="B7" s="9">
        <v>3</v>
      </c>
      <c r="C7" s="9" t="s">
        <v>835</v>
      </c>
      <c r="D7" s="9" t="s">
        <v>836</v>
      </c>
      <c r="F7" s="5" t="str" cm="1">
        <f t="array" ref="F7">TranslateMe(219)</f>
        <v>Who's in row 17 and col 3 ?</v>
      </c>
      <c r="H7" s="8"/>
    </row>
    <row r="8" spans="1:23" ht="23.4">
      <c r="B8" s="9">
        <v>4</v>
      </c>
      <c r="C8" s="9" t="s">
        <v>837</v>
      </c>
      <c r="D8" s="9" t="s">
        <v>838</v>
      </c>
      <c r="F8" s="96" t="str" cm="1">
        <f t="array" ref="F8">INDEX($B$5:$D$35,$G$4,$G$5)</f>
        <v>Nicolas Hayek</v>
      </c>
      <c r="H8" s="25" t="str">
        <f ca="1">_xlfn.FORMULATEXT(F8)</f>
        <v>=INDEX($B$5:$D$35;$G$4;$G$5)</v>
      </c>
    </row>
    <row r="9" spans="1:23">
      <c r="B9" s="9">
        <v>5</v>
      </c>
      <c r="C9" s="9" t="s">
        <v>833</v>
      </c>
      <c r="D9" s="9" t="s">
        <v>839</v>
      </c>
    </row>
    <row r="10" spans="1:23">
      <c r="B10" s="9">
        <v>6</v>
      </c>
      <c r="C10" s="9" t="s">
        <v>835</v>
      </c>
      <c r="D10" s="9" t="s">
        <v>840</v>
      </c>
    </row>
    <row r="11" spans="1:23" ht="33.6">
      <c r="B11" s="9">
        <v>7</v>
      </c>
      <c r="C11" s="9" t="s">
        <v>841</v>
      </c>
      <c r="D11" s="9" t="s">
        <v>842</v>
      </c>
      <c r="F11" s="95" t="str" cm="1">
        <f t="array" ref="F11">"B. "&amp;Translatefct(180,0)</f>
        <v>B. XMATCH</v>
      </c>
      <c r="G11" s="147" t="str" cm="1">
        <f t="array" ref="G11">Translatefct(180,1)</f>
        <v>Finds the relative position of a value in an array (replacement for MATCH).</v>
      </c>
      <c r="H11" s="95"/>
      <c r="I11" s="95"/>
      <c r="J11" s="95"/>
      <c r="K11" s="95"/>
      <c r="L11" s="95"/>
      <c r="M11" s="95"/>
      <c r="N11" s="95"/>
      <c r="O11" s="95"/>
      <c r="P11" s="95"/>
    </row>
    <row r="12" spans="1:23">
      <c r="B12" s="9">
        <v>8</v>
      </c>
      <c r="C12" s="9" t="s">
        <v>841</v>
      </c>
      <c r="D12" s="9" t="s">
        <v>843</v>
      </c>
      <c r="F12" s="5" t="str" cm="1">
        <f t="array" ref="F12">"B. "&amp;TranslateMe(220)</f>
        <v>B. Which column contains this data ?</v>
      </c>
      <c r="G12" s="98" t="s">
        <v>453</v>
      </c>
    </row>
    <row r="13" spans="1:23" ht="23.4">
      <c r="B13" s="9">
        <v>9</v>
      </c>
      <c r="C13" s="9" t="s">
        <v>833</v>
      </c>
      <c r="D13" s="9" t="s">
        <v>844</v>
      </c>
      <c r="F13" s="96">
        <f>_xlfn.XMATCH(G12,$B$4:$D$4,0)</f>
        <v>1</v>
      </c>
      <c r="H13" s="25" t="str">
        <f ca="1">_xlfn.FORMULATEXT(F13)</f>
        <v>=XMATCH(G12;$B$4:$D$4;0)</v>
      </c>
    </row>
    <row r="14" spans="1:23">
      <c r="B14" s="9">
        <v>10</v>
      </c>
      <c r="C14" s="9" t="s">
        <v>835</v>
      </c>
      <c r="D14" s="9" t="s">
        <v>845</v>
      </c>
    </row>
    <row r="15" spans="1:23">
      <c r="B15" s="9">
        <v>11</v>
      </c>
      <c r="C15" s="9" t="s">
        <v>833</v>
      </c>
      <c r="D15" s="9" t="s">
        <v>846</v>
      </c>
      <c r="F15" s="5" t="str" cm="1">
        <f t="array" ref="F15">"C. "&amp;TranslateMe(221)</f>
        <v xml:space="preserve">C. Show the row number of </v>
      </c>
      <c r="G15" s="98" t="s">
        <v>847</v>
      </c>
    </row>
    <row r="16" spans="1:23" ht="23.4">
      <c r="B16" s="9">
        <v>12</v>
      </c>
      <c r="C16" s="9" t="s">
        <v>831</v>
      </c>
      <c r="D16" s="9" t="s">
        <v>848</v>
      </c>
      <c r="F16" s="96">
        <f>_xlfn.XMATCH($G$15,$D$5:$D$35,0)</f>
        <v>16</v>
      </c>
      <c r="H16" s="25" t="str">
        <f ca="1">_xlfn.FORMULATEXT(F16)</f>
        <v>=XMATCH($G$15;$D$5:$D$35;0)</v>
      </c>
    </row>
    <row r="17" spans="2:16">
      <c r="B17" s="9">
        <v>13</v>
      </c>
      <c r="C17" s="9" t="s">
        <v>841</v>
      </c>
      <c r="D17" s="9" t="s">
        <v>849</v>
      </c>
      <c r="H17" s="25"/>
    </row>
    <row r="18" spans="2:16" ht="33.6">
      <c r="B18" s="9">
        <v>14</v>
      </c>
      <c r="C18" s="9" t="s">
        <v>850</v>
      </c>
      <c r="D18" s="9" t="s">
        <v>851</v>
      </c>
      <c r="F18" s="95" t="str" cm="1">
        <f t="array" ref="F18">"D. "&amp;Translatefct(840,0)</f>
        <v>D. OFFSET</v>
      </c>
      <c r="G18" s="147" t="str" cm="1">
        <f t="array" ref="G18">Translatefct(840,1)</f>
        <v>Returns a reference to a range that is offset from a starting cell by rows and columns.</v>
      </c>
      <c r="H18" s="95"/>
      <c r="I18" s="95"/>
      <c r="J18" s="95"/>
      <c r="K18" s="95"/>
      <c r="L18" s="95"/>
      <c r="M18" s="95"/>
      <c r="N18" s="95"/>
      <c r="O18" s="95"/>
      <c r="P18" s="95"/>
    </row>
    <row r="19" spans="2:16">
      <c r="B19" s="9">
        <v>15</v>
      </c>
      <c r="C19" s="9" t="s">
        <v>833</v>
      </c>
      <c r="D19" s="9" t="s">
        <v>852</v>
      </c>
      <c r="F19" s="5" t="str" cm="1">
        <f t="array" ref="F19">"D. "&amp;TranslateMe(222)</f>
        <v>D. Which category is  Paul Klee in ?</v>
      </c>
    </row>
    <row r="20" spans="2:16" ht="23.4">
      <c r="B20" s="9">
        <v>16</v>
      </c>
      <c r="C20" s="9" t="s">
        <v>850</v>
      </c>
      <c r="D20" s="9" t="s">
        <v>847</v>
      </c>
      <c r="F20" s="96" t="str">
        <f ca="1">OFFSET($B$4,$F$16,1)</f>
        <v>Auteur / Artiste</v>
      </c>
      <c r="H20" s="25" t="str">
        <f ca="1">_xlfn.FORMULATEXT(F20)</f>
        <v>=OFFSET($B$4;$F$16;1)</v>
      </c>
    </row>
    <row r="21" spans="2:16">
      <c r="B21" s="9">
        <v>17</v>
      </c>
      <c r="C21" s="9" t="s">
        <v>835</v>
      </c>
      <c r="D21" s="9" t="s">
        <v>853</v>
      </c>
    </row>
    <row r="22" spans="2:16" ht="33.6">
      <c r="B22" s="9">
        <v>18</v>
      </c>
      <c r="C22" s="9" t="s">
        <v>841</v>
      </c>
      <c r="D22" s="9" t="s">
        <v>854</v>
      </c>
      <c r="F22" s="95" t="str" cm="1">
        <f t="array" ref="F22">"E. "&amp;Translatefct(840,0)</f>
        <v>E. OFFSET</v>
      </c>
      <c r="G22" s="147"/>
      <c r="H22" s="95"/>
      <c r="I22" s="95"/>
      <c r="J22" s="95"/>
      <c r="K22" s="95"/>
      <c r="L22" s="95"/>
      <c r="M22" s="95"/>
      <c r="N22" s="95"/>
      <c r="O22" s="95"/>
      <c r="P22" s="95"/>
    </row>
    <row r="23" spans="2:16" ht="23.4">
      <c r="B23" s="9">
        <v>19</v>
      </c>
      <c r="C23" s="9" t="s">
        <v>841</v>
      </c>
      <c r="D23" s="9" t="s">
        <v>855</v>
      </c>
      <c r="F23" s="96" t="str" cm="1">
        <f t="array" aca="1" ref="F23:G25" ca="1">OFFSET(B4,F16,1,3,2)</f>
        <v>Auteur / Artiste</v>
      </c>
      <c r="G23" s="96" t="str">
        <f ca="1"/>
        <v>Paul Klee</v>
      </c>
      <c r="H23" s="25" t="str">
        <f ca="1">_xlfn.FORMULATEXT(F23)</f>
        <v>=OFFSET(B4;F16;1;3;2)</v>
      </c>
    </row>
    <row r="24" spans="2:16" ht="23.4">
      <c r="B24" s="9">
        <v>20</v>
      </c>
      <c r="C24" s="9" t="s">
        <v>831</v>
      </c>
      <c r="D24" s="9" t="s">
        <v>856</v>
      </c>
      <c r="F24" s="96" t="str">
        <f ca="1"/>
        <v>Business/Innovation</v>
      </c>
      <c r="G24" s="96" t="str">
        <f ca="1"/>
        <v>Nicolas Hayek</v>
      </c>
    </row>
    <row r="25" spans="2:16" ht="23.4">
      <c r="B25" s="9">
        <v>21</v>
      </c>
      <c r="C25" s="9" t="s">
        <v>835</v>
      </c>
      <c r="D25" s="9" t="s">
        <v>857</v>
      </c>
      <c r="F25" s="96" t="str">
        <f ca="1"/>
        <v>Histoire</v>
      </c>
      <c r="G25" s="96" t="str">
        <f ca="1"/>
        <v>William Tell</v>
      </c>
    </row>
    <row r="26" spans="2:16">
      <c r="B26" s="9">
        <v>22</v>
      </c>
      <c r="C26" s="9" t="s">
        <v>833</v>
      </c>
      <c r="D26" s="9" t="s">
        <v>858</v>
      </c>
    </row>
    <row r="27" spans="2:16" ht="33.6">
      <c r="B27" s="9">
        <v>23</v>
      </c>
      <c r="C27" s="9" t="s">
        <v>841</v>
      </c>
      <c r="D27" s="9" t="s">
        <v>859</v>
      </c>
      <c r="F27" s="95" t="str" cm="1">
        <f t="array" ref="F27">"F. "&amp;Translatefct(840,0)</f>
        <v>F. OFFSET</v>
      </c>
      <c r="G27" s="147"/>
      <c r="H27" s="95"/>
      <c r="I27" s="95"/>
      <c r="J27" s="95"/>
      <c r="K27" s="95"/>
      <c r="L27" s="95"/>
      <c r="M27" s="95"/>
      <c r="N27" s="95"/>
      <c r="O27" s="95"/>
      <c r="P27" s="95"/>
    </row>
    <row r="28" spans="2:16" ht="23.4">
      <c r="B28" s="9">
        <v>24</v>
      </c>
      <c r="C28" s="9" t="s">
        <v>841</v>
      </c>
      <c r="D28" s="9" t="s">
        <v>860</v>
      </c>
      <c r="F28" s="96" cm="1">
        <f t="array" aca="1" ref="F28:H29" ca="1">OFFSET($D$34,0,0,-2,-3)</f>
        <v>29</v>
      </c>
      <c r="G28" s="96" t="str">
        <f ca="1"/>
        <v>Auteur / Artiste</v>
      </c>
      <c r="H28" s="96" t="str">
        <f ca="1"/>
        <v>Hermann Hesse</v>
      </c>
      <c r="I28" s="25" t="str">
        <f ca="1">_xlfn.FORMULATEXT(F28)</f>
        <v>=OFFSET($D$34;0;0;-2;-3)</v>
      </c>
    </row>
    <row r="29" spans="2:16" ht="23.4">
      <c r="B29" s="9">
        <v>25</v>
      </c>
      <c r="C29" s="9" t="s">
        <v>831</v>
      </c>
      <c r="D29" s="9" t="s">
        <v>861</v>
      </c>
      <c r="F29" s="96">
        <f ca="1"/>
        <v>30</v>
      </c>
      <c r="G29" s="96" t="str">
        <f ca="1"/>
        <v>Auteur / Artiste</v>
      </c>
      <c r="H29" s="96" t="str">
        <f ca="1"/>
        <v>Friedrich Dürrenmatt</v>
      </c>
    </row>
    <row r="30" spans="2:16">
      <c r="B30" s="9">
        <v>26</v>
      </c>
      <c r="C30" s="9" t="s">
        <v>833</v>
      </c>
      <c r="D30" s="9" t="s">
        <v>862</v>
      </c>
    </row>
    <row r="31" spans="2:16">
      <c r="B31" s="9">
        <v>27</v>
      </c>
      <c r="C31" s="9" t="s">
        <v>837</v>
      </c>
      <c r="D31" s="9" t="s">
        <v>863</v>
      </c>
    </row>
    <row r="32" spans="2:16">
      <c r="B32" s="9">
        <v>28</v>
      </c>
      <c r="C32" s="9" t="s">
        <v>831</v>
      </c>
      <c r="D32" s="9" t="s">
        <v>864</v>
      </c>
      <c r="F32" s="5" t="str" cm="1">
        <f t="array" ref="F32">TranslateMe(223)</f>
        <v>FIND ALL PEOPLE IN THE SAME CATEGORY AS PAUL KLEE</v>
      </c>
    </row>
    <row r="33" spans="2:8" ht="23.4">
      <c r="B33" s="9">
        <v>29</v>
      </c>
      <c r="C33" s="9" t="s">
        <v>850</v>
      </c>
      <c r="D33" s="9" t="s">
        <v>865</v>
      </c>
      <c r="F33" s="96" cm="1">
        <f t="array" aca="1" ref="F33:H36" ca="1">_xlfn._xlws.FILTER($B$4:$D$34,$C$4:$C$34=OFFSET($B$4,$F$16,1))</f>
        <v>14</v>
      </c>
      <c r="G33" s="96" t="str">
        <f ca="1"/>
        <v>Auteur / Artiste</v>
      </c>
      <c r="H33" s="96" t="str">
        <f ca="1"/>
        <v>Johanna Spyri</v>
      </c>
    </row>
    <row r="34" spans="2:8" ht="23.4">
      <c r="B34" s="9">
        <v>30</v>
      </c>
      <c r="C34" s="9" t="s">
        <v>850</v>
      </c>
      <c r="D34" s="9" t="s">
        <v>866</v>
      </c>
      <c r="F34" s="96">
        <f ca="1"/>
        <v>16</v>
      </c>
      <c r="G34" s="96" t="str">
        <f ca="1"/>
        <v>Auteur / Artiste</v>
      </c>
      <c r="H34" s="96" t="str">
        <f ca="1"/>
        <v>Paul Klee</v>
      </c>
    </row>
    <row r="35" spans="2:8" ht="23.4">
      <c r="F35" s="96">
        <f ca="1"/>
        <v>29</v>
      </c>
      <c r="G35" s="96" t="str">
        <f ca="1"/>
        <v>Auteur / Artiste</v>
      </c>
      <c r="H35" s="96" t="str">
        <f ca="1"/>
        <v>Hermann Hesse</v>
      </c>
    </row>
    <row r="36" spans="2:8" ht="23.4">
      <c r="F36" s="96">
        <f ca="1"/>
        <v>30</v>
      </c>
      <c r="G36" s="96" t="str">
        <f ca="1"/>
        <v>Auteur / Artiste</v>
      </c>
      <c r="H36" s="96" t="str">
        <f ca="1"/>
        <v>Friedrich Dürrenmatt</v>
      </c>
    </row>
  </sheetData>
  <sortState xmlns:xlrd2="http://schemas.microsoft.com/office/spreadsheetml/2017/richdata2" ref="B5:D34">
    <sortCondition ref="B5:B34"/>
  </sortState>
  <mergeCells count="2">
    <mergeCell ref="A1:D2"/>
    <mergeCell ref="E1:G2"/>
  </mergeCells>
  <dataValidations count="1">
    <dataValidation type="list" allowBlank="1" showInputMessage="1" showErrorMessage="1" sqref="G12" xr:uid="{33763607-65EF-42F0-BA14-94676139F7CA}">
      <formula1>$B$4:$D$4</formula1>
    </dataValidation>
  </dataValidations>
  <pageMargins left="0.7" right="0.7" top="0.75" bottom="0.75" header="0.3" footer="0.3"/>
  <pageSetup orientation="portrait" horizontalDpi="4294967295" verticalDpi="4294967295"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D6ED4-F2DB-4AA5-B110-612BB9EEA2E4}">
  <sheetPr codeName="Sheet5">
    <tabColor theme="7"/>
  </sheetPr>
  <dimension ref="A1:W42"/>
  <sheetViews>
    <sheetView topLeftCell="D2" workbookViewId="0">
      <selection activeCell="J21" sqref="J21"/>
    </sheetView>
  </sheetViews>
  <sheetFormatPr defaultColWidth="11.44140625" defaultRowHeight="18"/>
  <cols>
    <col min="2" max="2" width="17.6640625" customWidth="1"/>
    <col min="3" max="3" width="14.33203125" customWidth="1"/>
    <col min="4" max="4" width="13.88671875" customWidth="1"/>
    <col min="5" max="5" width="9.33203125" bestFit="1" customWidth="1"/>
    <col min="6" max="7" width="9.33203125" customWidth="1"/>
    <col min="8" max="8" width="13.6640625" bestFit="1" customWidth="1"/>
    <col min="9" max="9" width="13.6640625" customWidth="1"/>
    <col min="10" max="10" width="22" style="9" customWidth="1"/>
    <col min="11" max="11" width="24" style="9" customWidth="1"/>
    <col min="12" max="12" width="15" style="9" customWidth="1"/>
    <col min="13" max="13" width="13" bestFit="1" customWidth="1"/>
    <col min="15" max="15" width="18.88671875" customWidth="1"/>
    <col min="16" max="16" width="26.109375" customWidth="1"/>
  </cols>
  <sheetData>
    <row r="1" spans="1:23" s="188" customFormat="1" ht="28.5" customHeight="1">
      <c r="A1" s="235" t="str" cm="1">
        <f t="array" ref="A1">Translatefct(850,0)</f>
        <v>VLOOKUP</v>
      </c>
      <c r="B1" s="235"/>
      <c r="C1" s="235"/>
      <c r="D1" s="235"/>
      <c r="E1" s="237" t="str" cm="1">
        <f t="array" ref="E1">Translatefct(850,1)</f>
        <v>Searches for a value in the first column of a range and returns a value in the same row.
VLOOKUP( VALUE; SEARCH RANGE; RETURN COLUMN NUMBER; 0/1 )</v>
      </c>
      <c r="F1" s="237"/>
      <c r="G1" s="237"/>
      <c r="H1" s="237"/>
      <c r="I1" s="237"/>
      <c r="J1" s="237"/>
      <c r="K1" s="237"/>
      <c r="L1" s="237"/>
      <c r="M1" s="237"/>
      <c r="N1" s="237"/>
      <c r="O1" s="189"/>
      <c r="Q1" s="189"/>
    </row>
    <row r="2" spans="1:23" s="188" customFormat="1" ht="21.75" customHeight="1" thickBot="1">
      <c r="A2" s="236"/>
      <c r="B2" s="236"/>
      <c r="C2" s="236"/>
      <c r="D2" s="236"/>
      <c r="E2" s="237"/>
      <c r="F2" s="237"/>
      <c r="G2" s="237"/>
      <c r="H2" s="237"/>
      <c r="I2" s="237"/>
      <c r="J2" s="237"/>
      <c r="K2" s="237"/>
      <c r="L2" s="237"/>
      <c r="M2" s="237"/>
      <c r="N2" s="237"/>
      <c r="O2" s="189"/>
      <c r="Q2" s="189"/>
    </row>
    <row r="3" spans="1:23" s="186" customFormat="1" ht="12.75" customHeight="1">
      <c r="A3" s="192"/>
      <c r="M3" s="187"/>
      <c r="O3" s="187"/>
      <c r="Q3" s="187"/>
      <c r="S3" s="187"/>
      <c r="U3" s="187"/>
      <c r="W3" s="187"/>
    </row>
    <row r="4" spans="1:23" ht="15" thickBot="1">
      <c r="B4" s="12" t="s">
        <v>867</v>
      </c>
      <c r="C4" s="12" t="s">
        <v>453</v>
      </c>
      <c r="D4" s="12" t="s">
        <v>622</v>
      </c>
      <c r="E4" s="12" t="s">
        <v>624</v>
      </c>
      <c r="F4" s="12" t="s">
        <v>626</v>
      </c>
      <c r="G4" s="12" t="s">
        <v>628</v>
      </c>
      <c r="H4" s="3" t="s">
        <v>868</v>
      </c>
      <c r="I4" s="3"/>
      <c r="J4"/>
      <c r="K4"/>
      <c r="L4"/>
    </row>
    <row r="5" spans="1:23" ht="34.200000000000003" thickTop="1">
      <c r="B5" s="154" t="s">
        <v>869</v>
      </c>
      <c r="C5" s="154" t="s">
        <v>870</v>
      </c>
      <c r="D5" s="154" t="s">
        <v>804</v>
      </c>
      <c r="E5" s="154" t="s">
        <v>871</v>
      </c>
      <c r="F5" s="154" t="s">
        <v>801</v>
      </c>
      <c r="G5" s="154">
        <v>1968</v>
      </c>
      <c r="H5" s="154">
        <v>68</v>
      </c>
      <c r="J5" s="162" t="str" cm="1">
        <f t="array" ref="J5">TranslateMe(225)</f>
        <v>VLOOKUP WITH WILDCARD</v>
      </c>
      <c r="K5" s="95"/>
      <c r="L5" s="95"/>
      <c r="M5" s="95"/>
      <c r="N5" s="95"/>
      <c r="O5" s="95"/>
      <c r="P5" s="95"/>
    </row>
    <row r="6" spans="1:23">
      <c r="B6" s="155" t="s">
        <v>872</v>
      </c>
      <c r="C6" s="155" t="s">
        <v>873</v>
      </c>
      <c r="D6" s="155" t="s">
        <v>804</v>
      </c>
      <c r="E6" s="155" t="s">
        <v>871</v>
      </c>
      <c r="F6" s="155" t="s">
        <v>801</v>
      </c>
      <c r="G6" s="155">
        <v>1988</v>
      </c>
      <c r="H6" s="155">
        <v>986</v>
      </c>
      <c r="J6"/>
      <c r="K6" s="98" t="s">
        <v>874</v>
      </c>
      <c r="L6"/>
    </row>
    <row r="7" spans="1:23" ht="23.4">
      <c r="B7" s="156" t="s">
        <v>875</v>
      </c>
      <c r="C7" s="156" t="s">
        <v>876</v>
      </c>
      <c r="D7" s="156" t="s">
        <v>804</v>
      </c>
      <c r="E7" s="156" t="s">
        <v>871</v>
      </c>
      <c r="F7" s="156" t="s">
        <v>801</v>
      </c>
      <c r="G7" s="156">
        <v>1990</v>
      </c>
      <c r="H7" s="156">
        <v>175</v>
      </c>
      <c r="J7"/>
      <c r="K7" s="96" t="str">
        <f>VLOOKUP($K$6&amp;"*",$B$5:$E$42,2,0)</f>
        <v>ID28</v>
      </c>
      <c r="L7" s="25" t="str">
        <f ca="1">_xlfn.FORMULATEXT(K7)</f>
        <v>=VLOOKUP($K$6&amp;"*";$B$5:$E$42;2;0)</v>
      </c>
    </row>
    <row r="8" spans="1:23">
      <c r="B8" s="155" t="s">
        <v>877</v>
      </c>
      <c r="C8" s="155" t="s">
        <v>878</v>
      </c>
      <c r="D8" s="155" t="s">
        <v>804</v>
      </c>
      <c r="E8" s="155" t="s">
        <v>871</v>
      </c>
      <c r="F8" s="155" t="s">
        <v>801</v>
      </c>
      <c r="G8" s="155">
        <v>1985</v>
      </c>
      <c r="H8" s="155">
        <v>339</v>
      </c>
    </row>
    <row r="9" spans="1:23">
      <c r="B9" s="156" t="s">
        <v>879</v>
      </c>
      <c r="C9" s="156" t="s">
        <v>880</v>
      </c>
      <c r="D9" s="156" t="s">
        <v>804</v>
      </c>
      <c r="E9" s="156" t="s">
        <v>871</v>
      </c>
      <c r="F9" s="156" t="s">
        <v>801</v>
      </c>
      <c r="G9" s="156">
        <v>2003</v>
      </c>
      <c r="H9" s="156">
        <v>433</v>
      </c>
      <c r="J9"/>
      <c r="K9" s="167" t="s">
        <v>775</v>
      </c>
    </row>
    <row r="10" spans="1:23">
      <c r="B10" s="155" t="s">
        <v>767</v>
      </c>
      <c r="C10" s="155" t="s">
        <v>881</v>
      </c>
      <c r="D10" s="155" t="s">
        <v>804</v>
      </c>
      <c r="E10" s="155" t="s">
        <v>871</v>
      </c>
      <c r="F10" s="155" t="s">
        <v>801</v>
      </c>
      <c r="G10" s="155">
        <v>2005</v>
      </c>
      <c r="H10" s="155">
        <v>-22</v>
      </c>
      <c r="J10"/>
      <c r="K10" s="167" t="s">
        <v>624</v>
      </c>
    </row>
    <row r="11" spans="1:23">
      <c r="B11" s="156" t="s">
        <v>768</v>
      </c>
      <c r="C11" s="156" t="s">
        <v>882</v>
      </c>
      <c r="D11" s="156" t="s">
        <v>804</v>
      </c>
      <c r="E11" s="156" t="s">
        <v>871</v>
      </c>
      <c r="F11" s="156" t="s">
        <v>801</v>
      </c>
      <c r="G11" s="156">
        <v>1996</v>
      </c>
      <c r="H11" s="156">
        <v>116</v>
      </c>
      <c r="L11"/>
    </row>
    <row r="12" spans="1:23">
      <c r="B12" s="155" t="s">
        <v>769</v>
      </c>
      <c r="C12" s="155" t="s">
        <v>883</v>
      </c>
      <c r="D12" s="155" t="s">
        <v>804</v>
      </c>
      <c r="E12" s="155" t="s">
        <v>802</v>
      </c>
      <c r="F12" s="155" t="s">
        <v>801</v>
      </c>
      <c r="G12" s="155">
        <v>1984</v>
      </c>
      <c r="H12" s="155">
        <v>749</v>
      </c>
      <c r="L12"/>
    </row>
    <row r="13" spans="1:23" ht="33.6">
      <c r="B13" s="156" t="s">
        <v>770</v>
      </c>
      <c r="C13" s="156" t="s">
        <v>884</v>
      </c>
      <c r="D13" s="156" t="s">
        <v>804</v>
      </c>
      <c r="E13" s="156" t="s">
        <v>802</v>
      </c>
      <c r="F13" s="156" t="s">
        <v>801</v>
      </c>
      <c r="G13" s="156">
        <v>1974</v>
      </c>
      <c r="H13" s="156">
        <v>343</v>
      </c>
      <c r="J13" s="162" t="str" cm="1">
        <f t="array" ref="J13">TranslateMe(226)</f>
        <v>SEARCH WITH INDEX AND MATCH</v>
      </c>
      <c r="K13" s="95"/>
      <c r="L13" s="95"/>
      <c r="M13" s="95"/>
      <c r="N13" s="95"/>
      <c r="O13" s="95"/>
      <c r="P13" s="95"/>
    </row>
    <row r="14" spans="1:23" ht="23.4">
      <c r="B14" s="155" t="s">
        <v>771</v>
      </c>
      <c r="C14" s="155" t="s">
        <v>885</v>
      </c>
      <c r="D14" s="155" t="s">
        <v>804</v>
      </c>
      <c r="E14" s="155" t="s">
        <v>802</v>
      </c>
      <c r="F14" s="155" t="s">
        <v>801</v>
      </c>
      <c r="G14" s="155">
        <v>1977</v>
      </c>
      <c r="H14" s="155">
        <v>51</v>
      </c>
      <c r="J14" s="96" t="str">
        <f>INDEX(B4:E42,MATCH($K$9,$B$4:$B$42,0),MATCH($K$10,$B$4:$E$4,0))</f>
        <v>Biel</v>
      </c>
      <c r="L14" s="25" t="str">
        <f ca="1">_xlfn.FORMULATEXT(J14)</f>
        <v>=INDEX(B4:E42;MATCH($K$9;$B$4:$B$42;0);MATCH($K$10;$B$4:$E$4;0))</v>
      </c>
    </row>
    <row r="15" spans="1:23" ht="14.4">
      <c r="B15" s="156" t="s">
        <v>772</v>
      </c>
      <c r="C15" s="156" t="s">
        <v>886</v>
      </c>
      <c r="D15" s="156" t="s">
        <v>804</v>
      </c>
      <c r="E15" s="156" t="s">
        <v>802</v>
      </c>
      <c r="F15" s="156" t="s">
        <v>801</v>
      </c>
      <c r="G15" s="156">
        <v>1999</v>
      </c>
      <c r="H15" s="156">
        <v>795</v>
      </c>
      <c r="J15"/>
      <c r="K15"/>
      <c r="L15"/>
    </row>
    <row r="16" spans="1:23">
      <c r="B16" s="155" t="s">
        <v>773</v>
      </c>
      <c r="C16" s="155" t="s">
        <v>887</v>
      </c>
      <c r="D16" s="155" t="s">
        <v>804</v>
      </c>
      <c r="E16" s="155" t="s">
        <v>802</v>
      </c>
      <c r="F16" s="155" t="s">
        <v>796</v>
      </c>
      <c r="G16" s="155">
        <v>1968</v>
      </c>
      <c r="H16" s="155">
        <v>519</v>
      </c>
    </row>
    <row r="17" spans="2:20" ht="33.6">
      <c r="B17" s="156" t="s">
        <v>774</v>
      </c>
      <c r="C17" s="156" t="s">
        <v>888</v>
      </c>
      <c r="D17" s="156" t="s">
        <v>804</v>
      </c>
      <c r="E17" s="156" t="s">
        <v>802</v>
      </c>
      <c r="F17" s="156" t="s">
        <v>796</v>
      </c>
      <c r="G17" s="156">
        <v>1988</v>
      </c>
      <c r="H17" s="156">
        <v>117</v>
      </c>
      <c r="J17" s="162" t="str" cm="1">
        <f t="array" ref="J17">"C. "&amp;TranslateMe(227)</f>
        <v>C. HORIZONTAL MATRIX VLOOKUP</v>
      </c>
      <c r="K17" s="95"/>
      <c r="L17" s="95"/>
      <c r="M17" s="95"/>
      <c r="N17" s="95"/>
      <c r="O17" s="95"/>
      <c r="P17" s="95"/>
    </row>
    <row r="18" spans="2:20" ht="24" thickBot="1">
      <c r="B18" s="155" t="s">
        <v>775</v>
      </c>
      <c r="C18" s="155" t="s">
        <v>889</v>
      </c>
      <c r="D18" s="155" t="s">
        <v>890</v>
      </c>
      <c r="E18" s="155" t="s">
        <v>891</v>
      </c>
      <c r="F18" s="155" t="s">
        <v>796</v>
      </c>
      <c r="G18" s="155">
        <v>1990</v>
      </c>
      <c r="H18" s="155">
        <v>223</v>
      </c>
      <c r="J18" s="96" t="str" cm="1">
        <f t="array" ref="J18:M18">VLOOKUP($K$9,B5:G42,{4,2,6,5},FALSE)</f>
        <v>Biel</v>
      </c>
      <c r="K18" s="96" t="str">
        <v>ID3</v>
      </c>
      <c r="L18" s="96">
        <v>1990</v>
      </c>
      <c r="M18" s="96" t="str">
        <v>F</v>
      </c>
      <c r="N18" s="25" t="str">
        <f ca="1">_xlfn.FORMULATEXT(J18)</f>
        <v>=VLOOKUP($K$9;B5:G42;{4\2\6\5};FALSE)</v>
      </c>
      <c r="O18" s="10"/>
    </row>
    <row r="19" spans="2:20">
      <c r="B19" s="156" t="s">
        <v>776</v>
      </c>
      <c r="C19" s="156" t="s">
        <v>892</v>
      </c>
      <c r="D19" s="156" t="s">
        <v>890</v>
      </c>
      <c r="E19" s="156" t="s">
        <v>891</v>
      </c>
      <c r="F19" s="156" t="s">
        <v>801</v>
      </c>
      <c r="G19" s="156">
        <v>1985</v>
      </c>
      <c r="H19" s="156">
        <v>958</v>
      </c>
      <c r="J19"/>
      <c r="K19"/>
    </row>
    <row r="20" spans="2:20" ht="33.6">
      <c r="B20" s="155" t="s">
        <v>893</v>
      </c>
      <c r="C20" s="155" t="s">
        <v>894</v>
      </c>
      <c r="D20" s="155" t="s">
        <v>890</v>
      </c>
      <c r="E20" s="155" t="s">
        <v>891</v>
      </c>
      <c r="F20" s="155" t="s">
        <v>801</v>
      </c>
      <c r="G20" s="155">
        <v>2003</v>
      </c>
      <c r="H20" s="155">
        <v>832</v>
      </c>
      <c r="J20" s="162" t="str" cm="1">
        <f t="array" ref="J20">"D. "&amp;TranslateMe(228)</f>
        <v>D. VERTICAL MATRIX VLOOKUP</v>
      </c>
      <c r="K20" s="95"/>
      <c r="L20" s="95"/>
      <c r="M20" s="95"/>
      <c r="N20" s="95"/>
      <c r="O20" s="95"/>
      <c r="P20" s="95"/>
    </row>
    <row r="21" spans="2:20" ht="23.4">
      <c r="B21" s="156" t="s">
        <v>777</v>
      </c>
      <c r="C21" s="156" t="s">
        <v>895</v>
      </c>
      <c r="D21" s="156" t="s">
        <v>890</v>
      </c>
      <c r="E21" s="156" t="s">
        <v>891</v>
      </c>
      <c r="F21" s="156" t="s">
        <v>796</v>
      </c>
      <c r="G21" s="156">
        <v>2005</v>
      </c>
      <c r="H21" s="156">
        <v>302</v>
      </c>
      <c r="J21" s="96" t="str" cm="1">
        <f t="array" ref="J21:J24">VLOOKUP($K$9,$B$5:$H$42,{4;2;6;5},FALSE)</f>
        <v>Biel</v>
      </c>
    </row>
    <row r="22" spans="2:20" ht="23.4">
      <c r="B22" s="155" t="s">
        <v>778</v>
      </c>
      <c r="C22" s="155" t="s">
        <v>896</v>
      </c>
      <c r="D22" s="155" t="s">
        <v>890</v>
      </c>
      <c r="E22" s="155" t="s">
        <v>891</v>
      </c>
      <c r="F22" s="155" t="s">
        <v>796</v>
      </c>
      <c r="G22" s="155">
        <v>1996</v>
      </c>
      <c r="H22" s="155">
        <v>967</v>
      </c>
      <c r="J22" s="96" t="str">
        <v>ID3</v>
      </c>
      <c r="K22" s="25" t="str">
        <f ca="1">_xlfn.FORMULATEXT(J21)</f>
        <v>=VLOOKUP($K$9;$B$5:$H$42;{4;2;6;5};FALSE)</v>
      </c>
    </row>
    <row r="23" spans="2:20" ht="23.4">
      <c r="B23" s="156" t="s">
        <v>779</v>
      </c>
      <c r="C23" s="156" t="s">
        <v>897</v>
      </c>
      <c r="D23" s="156" t="s">
        <v>890</v>
      </c>
      <c r="E23" s="156" t="s">
        <v>891</v>
      </c>
      <c r="F23" s="156" t="s">
        <v>801</v>
      </c>
      <c r="G23" s="156">
        <v>1984</v>
      </c>
      <c r="H23" s="156">
        <v>629</v>
      </c>
      <c r="J23" s="96">
        <v>1990</v>
      </c>
    </row>
    <row r="24" spans="2:20" ht="23.4">
      <c r="B24" s="155" t="s">
        <v>780</v>
      </c>
      <c r="C24" s="155" t="s">
        <v>898</v>
      </c>
      <c r="D24" s="155" t="s">
        <v>794</v>
      </c>
      <c r="E24" s="155" t="s">
        <v>797</v>
      </c>
      <c r="F24" s="155" t="s">
        <v>801</v>
      </c>
      <c r="G24" s="155">
        <v>1974</v>
      </c>
      <c r="H24" s="155">
        <v>827</v>
      </c>
      <c r="J24" s="96" t="str">
        <v>F</v>
      </c>
    </row>
    <row r="25" spans="2:20">
      <c r="B25" s="156" t="s">
        <v>899</v>
      </c>
      <c r="C25" s="156" t="s">
        <v>900</v>
      </c>
      <c r="D25" s="156" t="s">
        <v>794</v>
      </c>
      <c r="E25" s="156" t="s">
        <v>797</v>
      </c>
      <c r="F25" s="156" t="s">
        <v>801</v>
      </c>
      <c r="G25" s="156">
        <v>1977</v>
      </c>
      <c r="H25" s="156">
        <v>454</v>
      </c>
    </row>
    <row r="26" spans="2:20">
      <c r="B26" s="155" t="s">
        <v>901</v>
      </c>
      <c r="C26" s="155" t="s">
        <v>902</v>
      </c>
      <c r="D26" s="155" t="s">
        <v>794</v>
      </c>
      <c r="E26" s="155" t="s">
        <v>797</v>
      </c>
      <c r="F26" s="155" t="s">
        <v>801</v>
      </c>
      <c r="G26" s="155">
        <v>1999</v>
      </c>
      <c r="H26" s="155">
        <v>835</v>
      </c>
      <c r="M26" s="9"/>
      <c r="N26" s="9"/>
      <c r="O26" s="9"/>
    </row>
    <row r="27" spans="2:20" ht="14.4">
      <c r="B27" s="156" t="s">
        <v>903</v>
      </c>
      <c r="C27" s="156" t="s">
        <v>904</v>
      </c>
      <c r="D27" s="156" t="s">
        <v>794</v>
      </c>
      <c r="E27" s="156" t="s">
        <v>797</v>
      </c>
      <c r="F27" s="156" t="s">
        <v>801</v>
      </c>
      <c r="G27" s="156">
        <v>1968</v>
      </c>
      <c r="H27" s="156">
        <v>344</v>
      </c>
      <c r="J27"/>
      <c r="K27"/>
      <c r="L27"/>
    </row>
    <row r="28" spans="2:20" ht="14.4">
      <c r="B28" s="155" t="s">
        <v>905</v>
      </c>
      <c r="C28" s="155" t="s">
        <v>906</v>
      </c>
      <c r="D28" s="155" t="s">
        <v>794</v>
      </c>
      <c r="E28" s="155" t="s">
        <v>797</v>
      </c>
      <c r="F28" s="155" t="s">
        <v>801</v>
      </c>
      <c r="G28" s="155">
        <v>1988</v>
      </c>
      <c r="H28" s="155">
        <v>3</v>
      </c>
      <c r="J28"/>
      <c r="K28"/>
      <c r="L28"/>
    </row>
    <row r="29" spans="2:20">
      <c r="B29" s="156" t="s">
        <v>907</v>
      </c>
      <c r="C29" s="156" t="s">
        <v>908</v>
      </c>
      <c r="D29" s="156" t="s">
        <v>794</v>
      </c>
      <c r="E29" s="156" t="s">
        <v>797</v>
      </c>
      <c r="F29" s="156" t="s">
        <v>811</v>
      </c>
      <c r="G29" s="156">
        <v>1990</v>
      </c>
      <c r="H29" s="156">
        <v>-28</v>
      </c>
      <c r="J29"/>
      <c r="K29"/>
      <c r="L29"/>
      <c r="P29" s="9"/>
      <c r="Q29" s="9"/>
      <c r="R29" s="9"/>
      <c r="S29" s="9"/>
      <c r="T29" s="9"/>
    </row>
    <row r="30" spans="2:20">
      <c r="B30" s="155" t="s">
        <v>909</v>
      </c>
      <c r="C30" s="155" t="s">
        <v>910</v>
      </c>
      <c r="D30" s="155" t="s">
        <v>794</v>
      </c>
      <c r="E30" s="155" t="s">
        <v>821</v>
      </c>
      <c r="F30" s="155" t="s">
        <v>796</v>
      </c>
      <c r="G30" s="155">
        <v>1985</v>
      </c>
      <c r="H30" s="155">
        <v>230</v>
      </c>
    </row>
    <row r="31" spans="2:20">
      <c r="B31" s="156" t="s">
        <v>911</v>
      </c>
      <c r="C31" s="156" t="s">
        <v>912</v>
      </c>
      <c r="D31" s="156" t="s">
        <v>794</v>
      </c>
      <c r="E31" s="156" t="s">
        <v>821</v>
      </c>
      <c r="F31" s="156" t="s">
        <v>796</v>
      </c>
      <c r="G31" s="156">
        <v>2003</v>
      </c>
      <c r="H31" s="156">
        <v>941</v>
      </c>
    </row>
    <row r="32" spans="2:20">
      <c r="B32" s="155" t="s">
        <v>913</v>
      </c>
      <c r="C32" s="155" t="s">
        <v>914</v>
      </c>
      <c r="D32" s="155" t="s">
        <v>794</v>
      </c>
      <c r="E32" s="155" t="s">
        <v>821</v>
      </c>
      <c r="F32" s="155" t="s">
        <v>801</v>
      </c>
      <c r="G32" s="155">
        <v>2005</v>
      </c>
      <c r="H32" s="155">
        <v>503</v>
      </c>
    </row>
    <row r="33" spans="2:10">
      <c r="B33" s="156" t="s">
        <v>915</v>
      </c>
      <c r="C33" s="156" t="s">
        <v>916</v>
      </c>
      <c r="D33" s="156" t="s">
        <v>794</v>
      </c>
      <c r="E33" s="156" t="s">
        <v>821</v>
      </c>
      <c r="F33" s="156" t="s">
        <v>801</v>
      </c>
      <c r="G33" s="156">
        <v>1996</v>
      </c>
      <c r="H33" s="156">
        <v>2</v>
      </c>
    </row>
    <row r="34" spans="2:10">
      <c r="B34" s="155" t="s">
        <v>917</v>
      </c>
      <c r="C34" s="155" t="s">
        <v>918</v>
      </c>
      <c r="D34" s="155" t="s">
        <v>794</v>
      </c>
      <c r="E34" s="155" t="s">
        <v>821</v>
      </c>
      <c r="F34" s="155" t="s">
        <v>801</v>
      </c>
      <c r="G34" s="155">
        <v>1984</v>
      </c>
      <c r="H34" s="155">
        <v>302</v>
      </c>
    </row>
    <row r="35" spans="2:10">
      <c r="B35" s="156" t="s">
        <v>919</v>
      </c>
      <c r="C35" s="156" t="s">
        <v>920</v>
      </c>
      <c r="D35" s="156" t="s">
        <v>794</v>
      </c>
      <c r="E35" s="156" t="s">
        <v>821</v>
      </c>
      <c r="F35" s="156" t="s">
        <v>801</v>
      </c>
      <c r="G35" s="156">
        <v>1974</v>
      </c>
      <c r="H35" s="156">
        <v>254</v>
      </c>
    </row>
    <row r="36" spans="2:10">
      <c r="B36" s="155" t="s">
        <v>921</v>
      </c>
      <c r="C36" s="155" t="s">
        <v>908</v>
      </c>
      <c r="D36" s="155" t="s">
        <v>794</v>
      </c>
      <c r="E36" s="155" t="s">
        <v>797</v>
      </c>
      <c r="F36" s="155" t="s">
        <v>796</v>
      </c>
      <c r="G36" s="155">
        <v>1977</v>
      </c>
      <c r="H36" s="155">
        <v>310</v>
      </c>
    </row>
    <row r="37" spans="2:10">
      <c r="B37" s="156" t="s">
        <v>909</v>
      </c>
      <c r="C37" s="156" t="s">
        <v>910</v>
      </c>
      <c r="D37" s="156" t="s">
        <v>794</v>
      </c>
      <c r="E37" s="156" t="s">
        <v>821</v>
      </c>
      <c r="F37" s="156" t="s">
        <v>796</v>
      </c>
      <c r="G37" s="156">
        <v>1999</v>
      </c>
      <c r="H37" s="156">
        <v>930</v>
      </c>
      <c r="J37" s="47"/>
    </row>
    <row r="38" spans="2:10">
      <c r="B38" s="155" t="s">
        <v>911</v>
      </c>
      <c r="C38" s="155" t="s">
        <v>912</v>
      </c>
      <c r="D38" s="155" t="s">
        <v>794</v>
      </c>
      <c r="E38" s="155" t="s">
        <v>821</v>
      </c>
      <c r="F38" s="155" t="s">
        <v>796</v>
      </c>
      <c r="G38" s="155">
        <v>2009</v>
      </c>
      <c r="H38" s="155">
        <v>307</v>
      </c>
      <c r="J38" s="47"/>
    </row>
    <row r="39" spans="2:10">
      <c r="B39" s="156" t="s">
        <v>913</v>
      </c>
      <c r="C39" s="156" t="s">
        <v>914</v>
      </c>
      <c r="D39" s="156" t="s">
        <v>794</v>
      </c>
      <c r="E39" s="156" t="s">
        <v>821</v>
      </c>
      <c r="F39" s="156" t="s">
        <v>811</v>
      </c>
      <c r="G39" s="156">
        <v>2011</v>
      </c>
      <c r="H39" s="156">
        <v>286</v>
      </c>
      <c r="J39" s="47"/>
    </row>
    <row r="40" spans="2:10">
      <c r="B40" s="155" t="s">
        <v>915</v>
      </c>
      <c r="C40" s="155" t="s">
        <v>916</v>
      </c>
      <c r="D40" s="155" t="s">
        <v>794</v>
      </c>
      <c r="E40" s="155" t="s">
        <v>821</v>
      </c>
      <c r="F40" s="155" t="s">
        <v>801</v>
      </c>
      <c r="G40" s="155">
        <v>201</v>
      </c>
      <c r="H40" s="155">
        <v>170</v>
      </c>
      <c r="J40" s="47"/>
    </row>
    <row r="41" spans="2:10">
      <c r="B41" s="156" t="s">
        <v>917</v>
      </c>
      <c r="C41" s="156" t="s">
        <v>918</v>
      </c>
      <c r="D41" s="156" t="s">
        <v>794</v>
      </c>
      <c r="E41" s="156" t="s">
        <v>821</v>
      </c>
      <c r="F41" s="156" t="s">
        <v>801</v>
      </c>
      <c r="G41" s="156">
        <v>2006</v>
      </c>
      <c r="H41" s="156">
        <v>968</v>
      </c>
      <c r="J41" s="47"/>
    </row>
    <row r="42" spans="2:10">
      <c r="B42" s="157" t="s">
        <v>919</v>
      </c>
      <c r="C42" s="157" t="s">
        <v>920</v>
      </c>
      <c r="D42" s="157" t="s">
        <v>794</v>
      </c>
      <c r="E42" s="157" t="s">
        <v>821</v>
      </c>
      <c r="F42" s="155" t="s">
        <v>801</v>
      </c>
      <c r="G42" s="155">
        <v>2007</v>
      </c>
      <c r="H42" s="155">
        <v>930</v>
      </c>
      <c r="J42" s="47"/>
    </row>
  </sheetData>
  <mergeCells count="2">
    <mergeCell ref="A1:D2"/>
    <mergeCell ref="E1:N2"/>
  </mergeCells>
  <dataValidations count="2">
    <dataValidation type="list" allowBlank="1" showInputMessage="1" showErrorMessage="1" sqref="K9" xr:uid="{6A831E17-F3F4-4498-9CA9-1F702D0CA4AE}">
      <formula1>$B$5:$B$42</formula1>
    </dataValidation>
    <dataValidation type="list" allowBlank="1" showInputMessage="1" showErrorMessage="1" sqref="K10" xr:uid="{946D1489-1170-426C-8618-4DD33E647327}">
      <formula1>$C$4:$E$4</formula1>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0DC0A-B83E-4288-AA4C-9335EF0FB40D}">
  <sheetPr codeName="Sheet6">
    <tabColor theme="7"/>
  </sheetPr>
  <dimension ref="A1:AY56"/>
  <sheetViews>
    <sheetView topLeftCell="A12" workbookViewId="0">
      <selection activeCell="D10" sqref="D10"/>
    </sheetView>
  </sheetViews>
  <sheetFormatPr defaultColWidth="9.109375" defaultRowHeight="14.4"/>
  <cols>
    <col min="2" max="2" width="9.109375" customWidth="1"/>
    <col min="3" max="3" width="10.88671875" bestFit="1" customWidth="1"/>
    <col min="4" max="4" width="32" bestFit="1" customWidth="1"/>
    <col min="5" max="5" width="12.109375" customWidth="1"/>
    <col min="6" max="6" width="20.5546875" customWidth="1"/>
    <col min="7" max="7" width="23.5546875" bestFit="1" customWidth="1"/>
    <col min="8" max="8" width="11.44140625" bestFit="1" customWidth="1"/>
    <col min="9" max="9" width="13.88671875" bestFit="1" customWidth="1"/>
    <col min="10" max="10" width="13" bestFit="1" customWidth="1"/>
    <col min="11" max="11" width="19.88671875" bestFit="1" customWidth="1"/>
    <col min="12" max="12" width="11.88671875" bestFit="1" customWidth="1"/>
    <col min="13" max="13" width="13.6640625" customWidth="1"/>
    <col min="14" max="14" width="9.6640625" bestFit="1" customWidth="1"/>
    <col min="15" max="15" width="21.33203125" bestFit="1" customWidth="1"/>
    <col min="16" max="16" width="14.109375" bestFit="1" customWidth="1"/>
    <col min="17" max="17" width="12.6640625" bestFit="1" customWidth="1"/>
    <col min="18" max="18" width="11" bestFit="1" customWidth="1"/>
    <col min="19" max="19" width="11.6640625" bestFit="1" customWidth="1"/>
    <col min="20" max="20" width="9.33203125" bestFit="1" customWidth="1"/>
    <col min="21" max="21" width="13.6640625" bestFit="1" customWidth="1"/>
    <col min="22" max="22" width="21.33203125" bestFit="1" customWidth="1"/>
    <col min="23" max="24" width="12.6640625" bestFit="1" customWidth="1"/>
    <col min="25" max="25" width="11" bestFit="1" customWidth="1"/>
    <col min="26" max="26" width="12.88671875" bestFit="1" customWidth="1"/>
    <col min="27" max="27" width="9.33203125" bestFit="1" customWidth="1"/>
    <col min="28" max="28" width="18.5546875" bestFit="1" customWidth="1"/>
    <col min="29" max="29" width="13.6640625" bestFit="1" customWidth="1"/>
    <col min="30" max="30" width="16.44140625" bestFit="1" customWidth="1"/>
    <col min="31" max="31" width="12.33203125" bestFit="1" customWidth="1"/>
    <col min="32" max="32" width="14.44140625" bestFit="1" customWidth="1"/>
    <col min="33" max="33" width="18.5546875" bestFit="1" customWidth="1"/>
    <col min="34" max="34" width="19.88671875" bestFit="1" customWidth="1"/>
    <col min="35" max="35" width="16.44140625" bestFit="1" customWidth="1"/>
    <col min="36" max="36" width="16.88671875" bestFit="1" customWidth="1"/>
    <col min="37" max="37" width="13.88671875" bestFit="1" customWidth="1"/>
    <col min="38" max="38" width="19.88671875" bestFit="1" customWidth="1"/>
    <col min="39" max="39" width="24.44140625" bestFit="1" customWidth="1"/>
    <col min="40" max="40" width="11.44140625" bestFit="1" customWidth="1"/>
    <col min="41" max="41" width="16.33203125" bestFit="1" customWidth="1"/>
    <col min="42" max="42" width="21.33203125" bestFit="1" customWidth="1"/>
    <col min="43" max="43" width="25.5546875" bestFit="1" customWidth="1"/>
    <col min="44" max="44" width="13.88671875" bestFit="1" customWidth="1"/>
    <col min="45" max="45" width="11.6640625" bestFit="1" customWidth="1"/>
    <col min="46" max="46" width="11.44140625" bestFit="1" customWidth="1"/>
    <col min="47" max="47" width="21.33203125" bestFit="1" customWidth="1"/>
    <col min="48" max="48" width="12.88671875" bestFit="1" customWidth="1"/>
    <col min="49" max="49" width="13" bestFit="1" customWidth="1"/>
    <col min="50" max="50" width="11.6640625" bestFit="1" customWidth="1"/>
    <col min="51" max="51" width="13.109375" bestFit="1" customWidth="1"/>
  </cols>
  <sheetData>
    <row r="1" spans="1:51" s="188" customFormat="1" ht="28.5" customHeight="1">
      <c r="A1" s="235" t="str" cm="1">
        <f t="array" ref="A1">Translatefct(860,0)</f>
        <v>HLOOKUP</v>
      </c>
      <c r="B1" s="235"/>
      <c r="C1" s="235"/>
      <c r="D1" s="235"/>
      <c r="E1" s="190"/>
      <c r="F1" s="190"/>
      <c r="G1" s="190"/>
      <c r="H1" s="190"/>
      <c r="I1" s="190"/>
      <c r="J1" s="190"/>
      <c r="K1" s="190"/>
      <c r="L1" s="190"/>
      <c r="M1" s="190"/>
      <c r="N1" s="190"/>
      <c r="O1" s="189"/>
      <c r="Q1" s="189"/>
    </row>
    <row r="2" spans="1:51" s="188" customFormat="1" ht="21.75" customHeight="1" thickBot="1">
      <c r="A2" s="236"/>
      <c r="B2" s="236"/>
      <c r="C2" s="236"/>
      <c r="D2" s="236"/>
      <c r="E2" s="223" t="str" cm="1">
        <f t="array" ref="E2">Translatefct(860,1)</f>
        <v>Searches for a value in the first row of a range and returns a value in the same column.</v>
      </c>
      <c r="F2" s="190"/>
      <c r="G2" s="190"/>
      <c r="H2" s="190"/>
      <c r="I2" s="248"/>
      <c r="J2" s="248"/>
      <c r="K2" s="248"/>
      <c r="L2" s="248"/>
      <c r="M2" s="248"/>
      <c r="N2" s="248"/>
      <c r="O2" s="189"/>
      <c r="Q2" s="189"/>
    </row>
    <row r="3" spans="1:51" s="250" customFormat="1" ht="12.75" customHeight="1">
      <c r="A3" s="249"/>
    </row>
    <row r="5" spans="1:51" ht="18">
      <c r="B5" s="5"/>
      <c r="C5" s="9"/>
      <c r="D5" s="9"/>
    </row>
    <row r="6" spans="1:51" ht="18.600000000000001" thickBot="1">
      <c r="B6" s="251" t="s">
        <v>453</v>
      </c>
      <c r="C6" s="251" t="s">
        <v>922</v>
      </c>
      <c r="D6" s="251" t="s">
        <v>867</v>
      </c>
    </row>
    <row r="7" spans="1:51" ht="18.600000000000001" thickBot="1">
      <c r="B7" s="114">
        <v>1980</v>
      </c>
      <c r="C7" s="115">
        <v>0.22</v>
      </c>
      <c r="D7" s="115" t="s">
        <v>923</v>
      </c>
      <c r="F7" s="3">
        <v>0</v>
      </c>
    </row>
    <row r="8" spans="1:51" ht="18.600000000000001" thickBot="1">
      <c r="B8" s="114">
        <v>1981</v>
      </c>
      <c r="C8" s="115">
        <v>0.25</v>
      </c>
      <c r="D8" s="115" t="s">
        <v>924</v>
      </c>
      <c r="F8" s="48" t="s">
        <v>453</v>
      </c>
      <c r="G8" s="106">
        <v>1980</v>
      </c>
      <c r="H8" s="106">
        <v>1981</v>
      </c>
      <c r="I8" s="106">
        <v>1982</v>
      </c>
      <c r="J8" s="106">
        <v>1983</v>
      </c>
      <c r="K8" s="106">
        <v>1984</v>
      </c>
      <c r="L8" s="106">
        <v>1985</v>
      </c>
      <c r="M8" s="106">
        <v>1986</v>
      </c>
      <c r="N8" s="106">
        <v>1987</v>
      </c>
      <c r="O8" s="106">
        <v>1988</v>
      </c>
      <c r="P8" s="106">
        <v>1989</v>
      </c>
      <c r="Q8" s="106">
        <v>1990</v>
      </c>
      <c r="R8" s="106">
        <v>1991</v>
      </c>
      <c r="S8" s="106">
        <v>1992</v>
      </c>
      <c r="T8" s="106">
        <v>1993</v>
      </c>
      <c r="U8" s="106">
        <v>1994</v>
      </c>
      <c r="V8" s="106">
        <v>1995</v>
      </c>
      <c r="W8" s="106">
        <v>1996</v>
      </c>
      <c r="X8" s="106">
        <v>1997</v>
      </c>
      <c r="Y8" s="106">
        <v>1998</v>
      </c>
      <c r="Z8" s="106">
        <v>1999</v>
      </c>
      <c r="AA8" s="106">
        <v>2000</v>
      </c>
      <c r="AB8" s="106">
        <v>2001</v>
      </c>
      <c r="AC8" s="106">
        <v>2002</v>
      </c>
      <c r="AD8" s="106">
        <v>2003</v>
      </c>
      <c r="AE8" s="106">
        <v>2004</v>
      </c>
      <c r="AF8" s="106">
        <v>2005</v>
      </c>
      <c r="AG8" s="106">
        <v>2006</v>
      </c>
      <c r="AH8" s="106">
        <v>2007</v>
      </c>
      <c r="AI8" s="106">
        <v>2008</v>
      </c>
      <c r="AJ8" s="106">
        <v>2009</v>
      </c>
      <c r="AK8" s="106">
        <v>2010</v>
      </c>
      <c r="AL8" s="106">
        <v>2011</v>
      </c>
      <c r="AM8" s="106">
        <v>2012</v>
      </c>
      <c r="AN8" s="106">
        <v>2013</v>
      </c>
      <c r="AO8" s="106">
        <v>2014</v>
      </c>
      <c r="AP8" s="106">
        <v>2015</v>
      </c>
      <c r="AQ8" s="106">
        <v>2016</v>
      </c>
      <c r="AR8" s="106">
        <v>2017</v>
      </c>
      <c r="AS8" s="106">
        <v>2018</v>
      </c>
      <c r="AT8" s="106">
        <v>2019</v>
      </c>
      <c r="AU8" s="106">
        <v>2020</v>
      </c>
      <c r="AV8" s="106">
        <v>2021</v>
      </c>
      <c r="AW8" s="106">
        <v>2022</v>
      </c>
      <c r="AX8" s="106">
        <v>2023</v>
      </c>
      <c r="AY8" s="107">
        <v>2024</v>
      </c>
    </row>
    <row r="9" spans="1:51" ht="19.2" thickTop="1" thickBot="1">
      <c r="B9" s="114">
        <v>1982</v>
      </c>
      <c r="C9" s="115">
        <v>0.25</v>
      </c>
      <c r="D9" s="115" t="s">
        <v>925</v>
      </c>
      <c r="F9" s="49" t="s">
        <v>922</v>
      </c>
      <c r="G9" s="86">
        <v>0.27</v>
      </c>
      <c r="H9" s="86">
        <v>0.25</v>
      </c>
      <c r="I9" s="86">
        <v>0.25</v>
      </c>
      <c r="J9" s="86">
        <v>0.25</v>
      </c>
      <c r="K9" s="86">
        <v>0.25</v>
      </c>
      <c r="L9" s="86">
        <v>0.24</v>
      </c>
      <c r="M9" s="86">
        <v>0.24</v>
      </c>
      <c r="N9" s="86">
        <v>0.23</v>
      </c>
      <c r="O9" s="86">
        <v>0.23</v>
      </c>
      <c r="P9" s="86">
        <v>0.21</v>
      </c>
      <c r="Q9" s="86">
        <v>0.2</v>
      </c>
      <c r="R9" s="86">
        <v>0.19</v>
      </c>
      <c r="S9" s="86">
        <v>0.18</v>
      </c>
      <c r="T9" s="86">
        <v>0.18</v>
      </c>
      <c r="U9" s="86">
        <v>0.17</v>
      </c>
      <c r="V9" s="86">
        <v>0.14000000000000001</v>
      </c>
      <c r="W9" s="86">
        <v>0.14000000000000001</v>
      </c>
      <c r="X9" s="86">
        <v>0.1</v>
      </c>
      <c r="Y9" s="86">
        <v>0.1</v>
      </c>
      <c r="Z9" s="86">
        <v>0.27</v>
      </c>
      <c r="AA9" s="86">
        <v>0.25</v>
      </c>
      <c r="AB9" s="86">
        <v>0.25</v>
      </c>
      <c r="AC9" s="86">
        <v>0.25</v>
      </c>
      <c r="AD9" s="86">
        <v>0.25</v>
      </c>
      <c r="AE9" s="86">
        <v>0.24</v>
      </c>
      <c r="AF9" s="86">
        <v>0.24</v>
      </c>
      <c r="AG9" s="86">
        <v>0.23</v>
      </c>
      <c r="AH9" s="86">
        <v>0.23</v>
      </c>
      <c r="AI9" s="86">
        <v>0.21</v>
      </c>
      <c r="AJ9" s="86">
        <v>0.2</v>
      </c>
      <c r="AK9" s="86">
        <v>0.19</v>
      </c>
      <c r="AL9" s="86">
        <v>0.18</v>
      </c>
      <c r="AM9" s="86">
        <v>0.18</v>
      </c>
      <c r="AN9" s="86">
        <v>0.17</v>
      </c>
      <c r="AO9" s="86">
        <v>0.14000000000000001</v>
      </c>
      <c r="AP9" s="86">
        <v>0.14000000000000001</v>
      </c>
      <c r="AQ9" s="86">
        <v>0.27</v>
      </c>
      <c r="AR9" s="86">
        <v>0.25</v>
      </c>
      <c r="AS9" s="86">
        <v>0.25</v>
      </c>
      <c r="AT9" s="86">
        <v>0.25</v>
      </c>
      <c r="AU9" s="86">
        <v>0.25</v>
      </c>
      <c r="AV9" s="86">
        <v>0.24</v>
      </c>
      <c r="AW9" s="86">
        <v>0.24</v>
      </c>
      <c r="AX9" s="86">
        <v>0.23</v>
      </c>
      <c r="AY9" s="108">
        <v>0.2</v>
      </c>
    </row>
    <row r="10" spans="1:51" ht="19.2" thickTop="1" thickBot="1">
      <c r="B10" s="114">
        <v>1983</v>
      </c>
      <c r="C10" s="115">
        <v>0.25</v>
      </c>
      <c r="D10" s="115" t="s">
        <v>926</v>
      </c>
      <c r="F10" s="50" t="s">
        <v>867</v>
      </c>
      <c r="G10" s="109" t="s">
        <v>923</v>
      </c>
      <c r="H10" s="109" t="s">
        <v>924</v>
      </c>
      <c r="I10" s="109" t="s">
        <v>925</v>
      </c>
      <c r="J10" s="109" t="s">
        <v>926</v>
      </c>
      <c r="K10" s="109" t="s">
        <v>927</v>
      </c>
      <c r="L10" s="109" t="s">
        <v>928</v>
      </c>
      <c r="M10" s="109" t="s">
        <v>928</v>
      </c>
      <c r="N10" s="109" t="s">
        <v>929</v>
      </c>
      <c r="O10" s="109" t="s">
        <v>846</v>
      </c>
      <c r="P10" s="109" t="s">
        <v>930</v>
      </c>
      <c r="Q10" s="109" t="s">
        <v>931</v>
      </c>
      <c r="R10" s="109" t="s">
        <v>932</v>
      </c>
      <c r="S10" s="109" t="s">
        <v>933</v>
      </c>
      <c r="T10" s="109" t="s">
        <v>934</v>
      </c>
      <c r="U10" s="109" t="s">
        <v>935</v>
      </c>
      <c r="V10" s="109" t="s">
        <v>846</v>
      </c>
      <c r="W10" s="109" t="s">
        <v>931</v>
      </c>
      <c r="X10" s="109" t="s">
        <v>931</v>
      </c>
      <c r="Y10" s="109" t="s">
        <v>932</v>
      </c>
      <c r="Z10" s="109" t="s">
        <v>936</v>
      </c>
      <c r="AA10" s="109" t="s">
        <v>934</v>
      </c>
      <c r="AB10" s="109" t="s">
        <v>937</v>
      </c>
      <c r="AC10" s="109" t="s">
        <v>935</v>
      </c>
      <c r="AD10" s="109" t="s">
        <v>834</v>
      </c>
      <c r="AE10" s="109" t="s">
        <v>938</v>
      </c>
      <c r="AF10" s="109" t="s">
        <v>939</v>
      </c>
      <c r="AG10" s="109" t="s">
        <v>937</v>
      </c>
      <c r="AH10" s="109" t="s">
        <v>862</v>
      </c>
      <c r="AI10" s="109" t="s">
        <v>834</v>
      </c>
      <c r="AJ10" s="109" t="s">
        <v>940</v>
      </c>
      <c r="AK10" s="109" t="s">
        <v>941</v>
      </c>
      <c r="AL10" s="109" t="s">
        <v>862</v>
      </c>
      <c r="AM10" s="109" t="s">
        <v>942</v>
      </c>
      <c r="AN10" s="109" t="s">
        <v>839</v>
      </c>
      <c r="AO10" s="109" t="s">
        <v>943</v>
      </c>
      <c r="AP10" s="109" t="s">
        <v>858</v>
      </c>
      <c r="AQ10" s="109" t="s">
        <v>944</v>
      </c>
      <c r="AR10" s="109" t="s">
        <v>941</v>
      </c>
      <c r="AS10" s="109" t="s">
        <v>945</v>
      </c>
      <c r="AT10" s="109" t="s">
        <v>839</v>
      </c>
      <c r="AU10" s="109" t="s">
        <v>858</v>
      </c>
      <c r="AV10" s="109" t="s">
        <v>852</v>
      </c>
      <c r="AW10" s="109" t="s">
        <v>844</v>
      </c>
      <c r="AX10" s="109" t="s">
        <v>945</v>
      </c>
      <c r="AY10" s="110" t="s">
        <v>946</v>
      </c>
    </row>
    <row r="11" spans="1:51" ht="18">
      <c r="B11" s="114">
        <v>1984</v>
      </c>
      <c r="C11" s="115">
        <v>0.25</v>
      </c>
      <c r="D11" s="115" t="s">
        <v>927</v>
      </c>
    </row>
    <row r="12" spans="1:51" ht="18">
      <c r="B12" s="114">
        <v>1985</v>
      </c>
      <c r="C12" s="115">
        <v>0.24</v>
      </c>
      <c r="D12" s="115" t="s">
        <v>928</v>
      </c>
      <c r="V12" s="1"/>
    </row>
    <row r="13" spans="1:51" ht="18">
      <c r="B13" s="114">
        <v>1986</v>
      </c>
      <c r="C13" s="115">
        <v>0.24</v>
      </c>
      <c r="D13" s="115" t="s">
        <v>928</v>
      </c>
      <c r="V13" s="45"/>
    </row>
    <row r="14" spans="1:51" ht="18">
      <c r="B14" s="114">
        <v>1987</v>
      </c>
      <c r="C14" s="115">
        <v>0.23</v>
      </c>
      <c r="D14" s="115" t="s">
        <v>929</v>
      </c>
      <c r="V14" s="45"/>
    </row>
    <row r="15" spans="1:51" ht="18">
      <c r="B15" s="114">
        <v>1988</v>
      </c>
      <c r="C15" s="115">
        <v>0.23</v>
      </c>
      <c r="D15" s="115" t="s">
        <v>846</v>
      </c>
      <c r="J15" t="s">
        <v>765</v>
      </c>
      <c r="K15" s="98">
        <v>1990</v>
      </c>
      <c r="V15" s="45"/>
    </row>
    <row r="16" spans="1:51" ht="23.4">
      <c r="B16" s="114">
        <v>1989</v>
      </c>
      <c r="C16" s="115">
        <v>0.21</v>
      </c>
      <c r="D16" s="115" t="s">
        <v>930</v>
      </c>
      <c r="J16" s="3" t="s">
        <v>1082</v>
      </c>
      <c r="K16" s="97">
        <f>HLOOKUP($K$15,$G$8:$AE$10,2,FALSE)</f>
        <v>0.2</v>
      </c>
      <c r="M16" s="25" t="str">
        <f ca="1">_xlfn.FORMULATEXT(K16)</f>
        <v>=HLOOKUP($K$15;$G$8:$AE$10;2;FALSE)</v>
      </c>
      <c r="V16" s="45"/>
    </row>
    <row r="17" spans="2:22" ht="23.4">
      <c r="B17" s="114">
        <v>1990</v>
      </c>
      <c r="C17" s="115">
        <v>0.2</v>
      </c>
      <c r="D17" s="115" t="s">
        <v>931</v>
      </c>
      <c r="J17" s="3" t="s">
        <v>1083</v>
      </c>
      <c r="K17" s="96" t="str">
        <f>HLOOKUP($K$15,$G$8:$AE$10,3,FALSE)</f>
        <v>Arnold Koller</v>
      </c>
      <c r="V17" s="45"/>
    </row>
    <row r="18" spans="2:22" ht="18">
      <c r="B18" s="114">
        <v>1991</v>
      </c>
      <c r="C18" s="115">
        <v>0.19</v>
      </c>
      <c r="D18" s="115" t="s">
        <v>932</v>
      </c>
      <c r="K18" s="30"/>
      <c r="V18" s="45"/>
    </row>
    <row r="19" spans="2:22" ht="18">
      <c r="B19" s="114">
        <v>1992</v>
      </c>
      <c r="C19" s="115">
        <v>0.18</v>
      </c>
      <c r="D19" s="115" t="s">
        <v>933</v>
      </c>
      <c r="M19" s="25"/>
      <c r="V19" s="45"/>
    </row>
    <row r="20" spans="2:22" ht="18">
      <c r="B20" s="114">
        <v>1993</v>
      </c>
      <c r="C20" s="115">
        <v>0.18</v>
      </c>
      <c r="D20" s="115" t="s">
        <v>934</v>
      </c>
      <c r="V20" s="45"/>
    </row>
    <row r="21" spans="2:22" ht="18">
      <c r="B21" s="114">
        <v>1994</v>
      </c>
      <c r="C21" s="115">
        <v>0.17</v>
      </c>
      <c r="D21" s="115" t="s">
        <v>935</v>
      </c>
      <c r="V21" s="45"/>
    </row>
    <row r="22" spans="2:22" ht="18">
      <c r="B22" s="114">
        <v>1995</v>
      </c>
      <c r="C22" s="115">
        <v>0.14000000000000001</v>
      </c>
      <c r="D22" s="115" t="s">
        <v>846</v>
      </c>
      <c r="V22" s="45"/>
    </row>
    <row r="23" spans="2:22" ht="18">
      <c r="B23" s="114">
        <v>1996</v>
      </c>
      <c r="C23" s="115">
        <v>0.14000000000000001</v>
      </c>
      <c r="D23" s="115" t="s">
        <v>931</v>
      </c>
      <c r="V23" s="45"/>
    </row>
    <row r="24" spans="2:22" ht="18">
      <c r="B24" s="114">
        <v>1997</v>
      </c>
      <c r="C24" s="115">
        <v>0.12</v>
      </c>
      <c r="D24" s="115" t="s">
        <v>931</v>
      </c>
      <c r="V24" s="45"/>
    </row>
    <row r="25" spans="2:22" ht="18">
      <c r="B25" s="114">
        <v>1998</v>
      </c>
      <c r="C25" s="115">
        <v>0.15</v>
      </c>
      <c r="D25" s="115" t="s">
        <v>932</v>
      </c>
      <c r="F25" s="5" t="s">
        <v>947</v>
      </c>
      <c r="V25" s="45"/>
    </row>
    <row r="26" spans="2:22" ht="18">
      <c r="B26" s="114">
        <v>1999</v>
      </c>
      <c r="C26" s="115">
        <v>0.22</v>
      </c>
      <c r="D26" s="115" t="s">
        <v>936</v>
      </c>
      <c r="V26" s="45"/>
    </row>
    <row r="27" spans="2:22" ht="18">
      <c r="B27" s="114">
        <v>2000</v>
      </c>
      <c r="C27" s="115">
        <v>0.25</v>
      </c>
      <c r="D27" s="115" t="s">
        <v>934</v>
      </c>
      <c r="F27" s="91" t="s">
        <v>790</v>
      </c>
      <c r="G27" s="91" t="s">
        <v>922</v>
      </c>
      <c r="V27" s="45"/>
    </row>
    <row r="28" spans="2:22" ht="21">
      <c r="B28" s="114">
        <v>2001</v>
      </c>
      <c r="C28" s="115">
        <v>0.25</v>
      </c>
      <c r="D28" s="115" t="s">
        <v>937</v>
      </c>
      <c r="F28" s="111">
        <v>10000</v>
      </c>
      <c r="G28" s="112">
        <v>0</v>
      </c>
      <c r="V28" s="45"/>
    </row>
    <row r="29" spans="2:22" ht="21">
      <c r="B29" s="114">
        <v>2002</v>
      </c>
      <c r="C29" s="115">
        <v>0.25</v>
      </c>
      <c r="D29" s="115" t="s">
        <v>935</v>
      </c>
      <c r="F29" s="111">
        <v>30000</v>
      </c>
      <c r="G29" s="112">
        <v>0.05</v>
      </c>
      <c r="V29" s="45"/>
    </row>
    <row r="30" spans="2:22" ht="21">
      <c r="B30" s="114">
        <v>2003</v>
      </c>
      <c r="C30" s="115">
        <v>0.25</v>
      </c>
      <c r="D30" s="115" t="s">
        <v>834</v>
      </c>
      <c r="F30" s="111">
        <v>50000</v>
      </c>
      <c r="G30" s="112">
        <v>0.08</v>
      </c>
      <c r="V30" s="45"/>
    </row>
    <row r="31" spans="2:22" ht="21">
      <c r="B31" s="114">
        <v>2004</v>
      </c>
      <c r="C31" s="115">
        <v>0.24</v>
      </c>
      <c r="D31" s="115" t="s">
        <v>938</v>
      </c>
      <c r="F31" s="111">
        <v>60000</v>
      </c>
      <c r="G31" s="112">
        <v>0.1</v>
      </c>
      <c r="V31" s="45"/>
    </row>
    <row r="32" spans="2:22" ht="21">
      <c r="B32" s="114">
        <v>2005</v>
      </c>
      <c r="C32" s="115">
        <v>0.24</v>
      </c>
      <c r="D32" s="115" t="s">
        <v>939</v>
      </c>
      <c r="F32" s="111">
        <v>100000</v>
      </c>
      <c r="G32" s="112">
        <v>0.15</v>
      </c>
      <c r="V32" s="45"/>
    </row>
    <row r="33" spans="2:22" ht="18">
      <c r="B33" s="114">
        <v>2006</v>
      </c>
      <c r="C33" s="115">
        <v>0.23</v>
      </c>
      <c r="D33" s="115" t="s">
        <v>937</v>
      </c>
      <c r="V33" s="45"/>
    </row>
    <row r="34" spans="2:22" ht="18">
      <c r="B34" s="114">
        <v>2007</v>
      </c>
      <c r="C34" s="115">
        <v>0.23</v>
      </c>
      <c r="D34" s="115" t="s">
        <v>862</v>
      </c>
      <c r="V34" s="45"/>
    </row>
    <row r="35" spans="2:22" ht="18">
      <c r="B35" s="114">
        <v>2008</v>
      </c>
      <c r="C35" s="115">
        <v>0.21</v>
      </c>
      <c r="D35" s="115" t="s">
        <v>834</v>
      </c>
      <c r="V35" s="45"/>
    </row>
    <row r="36" spans="2:22" ht="18">
      <c r="B36" s="114">
        <v>2009</v>
      </c>
      <c r="C36" s="115">
        <v>0.2</v>
      </c>
      <c r="D36" s="115" t="s">
        <v>940</v>
      </c>
      <c r="V36" s="45"/>
    </row>
    <row r="37" spans="2:22" ht="18">
      <c r="B37" s="114">
        <v>2010</v>
      </c>
      <c r="C37" s="115">
        <v>0.19</v>
      </c>
      <c r="D37" s="115" t="s">
        <v>941</v>
      </c>
      <c r="V37" s="45"/>
    </row>
    <row r="38" spans="2:22" ht="18">
      <c r="B38" s="114">
        <v>2011</v>
      </c>
      <c r="C38" s="115">
        <v>0.18</v>
      </c>
      <c r="D38" s="115" t="s">
        <v>862</v>
      </c>
      <c r="V38" s="45"/>
    </row>
    <row r="39" spans="2:22" ht="18">
      <c r="B39" s="114">
        <v>2012</v>
      </c>
      <c r="C39" s="115">
        <v>0.18</v>
      </c>
      <c r="D39" s="115" t="s">
        <v>942</v>
      </c>
      <c r="V39" s="45"/>
    </row>
    <row r="40" spans="2:22" ht="18">
      <c r="B40" s="114">
        <v>2013</v>
      </c>
      <c r="C40" s="115">
        <v>0.17</v>
      </c>
      <c r="D40" s="115" t="s">
        <v>839</v>
      </c>
      <c r="V40" s="45"/>
    </row>
    <row r="41" spans="2:22" ht="18">
      <c r="B41" s="114">
        <v>2014</v>
      </c>
      <c r="C41" s="115">
        <v>0.14000000000000001</v>
      </c>
      <c r="D41" s="115" t="s">
        <v>943</v>
      </c>
      <c r="V41" s="45"/>
    </row>
    <row r="42" spans="2:22" ht="18">
      <c r="B42" s="114">
        <v>2015</v>
      </c>
      <c r="C42" s="115">
        <v>0.14000000000000001</v>
      </c>
      <c r="D42" s="115" t="s">
        <v>858</v>
      </c>
      <c r="V42" s="45"/>
    </row>
    <row r="43" spans="2:22" ht="18">
      <c r="B43" s="114">
        <v>2016</v>
      </c>
      <c r="C43" s="115">
        <v>0.22</v>
      </c>
      <c r="D43" s="115" t="s">
        <v>944</v>
      </c>
      <c r="V43" s="45"/>
    </row>
    <row r="44" spans="2:22" ht="18">
      <c r="B44" s="114">
        <v>2017</v>
      </c>
      <c r="C44" s="115">
        <v>0.25</v>
      </c>
      <c r="D44" s="115" t="s">
        <v>941</v>
      </c>
      <c r="V44" s="45"/>
    </row>
    <row r="45" spans="2:22" ht="18">
      <c r="B45" s="114">
        <v>2018</v>
      </c>
      <c r="C45" s="115">
        <v>0.2</v>
      </c>
      <c r="D45" s="115" t="s">
        <v>945</v>
      </c>
      <c r="V45" s="45"/>
    </row>
    <row r="46" spans="2:22" ht="18">
      <c r="B46" s="114">
        <v>2019</v>
      </c>
      <c r="C46" s="115">
        <v>0.25</v>
      </c>
      <c r="D46" s="115" t="s">
        <v>839</v>
      </c>
      <c r="V46" s="45"/>
    </row>
    <row r="47" spans="2:22" ht="18">
      <c r="B47" s="114">
        <v>2020</v>
      </c>
      <c r="C47" s="115">
        <v>0.25</v>
      </c>
      <c r="D47" s="115" t="s">
        <v>858</v>
      </c>
      <c r="V47" s="45"/>
    </row>
    <row r="48" spans="2:22" ht="18">
      <c r="B48" s="114">
        <v>2021</v>
      </c>
      <c r="C48" s="115">
        <v>0.24</v>
      </c>
      <c r="D48" s="115" t="s">
        <v>852</v>
      </c>
      <c r="V48" s="45"/>
    </row>
    <row r="49" spans="2:22" ht="18">
      <c r="B49" s="114">
        <v>2022</v>
      </c>
      <c r="C49" s="115">
        <v>0.24</v>
      </c>
      <c r="D49" s="115" t="s">
        <v>844</v>
      </c>
      <c r="V49" s="45"/>
    </row>
    <row r="50" spans="2:22" ht="18">
      <c r="B50" s="114">
        <v>2023</v>
      </c>
      <c r="C50" s="115">
        <v>0.2</v>
      </c>
      <c r="D50" s="115" t="s">
        <v>945</v>
      </c>
      <c r="V50" s="45"/>
    </row>
    <row r="51" spans="2:22" ht="18">
      <c r="B51" s="114">
        <v>2024</v>
      </c>
      <c r="C51" s="115">
        <v>0.2</v>
      </c>
      <c r="D51" s="115" t="s">
        <v>946</v>
      </c>
      <c r="V51" s="45"/>
    </row>
    <row r="52" spans="2:22">
      <c r="V52" s="45"/>
    </row>
    <row r="53" spans="2:22">
      <c r="V53" s="45"/>
    </row>
    <row r="54" spans="2:22">
      <c r="V54" s="45"/>
    </row>
    <row r="55" spans="2:22">
      <c r="V55" s="45"/>
    </row>
    <row r="56" spans="2:22">
      <c r="V56" s="45"/>
    </row>
  </sheetData>
  <sortState xmlns:xlrd2="http://schemas.microsoft.com/office/spreadsheetml/2017/richdata2" ref="V13:X56">
    <sortCondition descending="1" ref="X13:X56"/>
  </sortState>
  <mergeCells count="1">
    <mergeCell ref="A1:D2"/>
  </mergeCells>
  <dataValidations count="1">
    <dataValidation type="list" allowBlank="1" showInputMessage="1" showErrorMessage="1" sqref="K15" xr:uid="{0E0EB4DB-2E63-4769-AF4A-F8B95EDF9D34}">
      <formula1>$B$7:$B$51</formula1>
    </dataValidation>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0D6F-A0EB-425B-998B-B3483F4536A3}">
  <sheetPr codeName="Sheet8">
    <tabColor theme="7"/>
  </sheetPr>
  <dimension ref="A1:W102"/>
  <sheetViews>
    <sheetView tabSelected="1" zoomScale="76" zoomScaleNormal="76" workbookViewId="0">
      <selection activeCell="K4" sqref="K4"/>
    </sheetView>
  </sheetViews>
  <sheetFormatPr defaultColWidth="15.109375" defaultRowHeight="14.4"/>
  <cols>
    <col min="2" max="2" width="10.44140625" customWidth="1"/>
    <col min="3" max="3" width="30.44140625" customWidth="1"/>
    <col min="4" max="4" width="21" bestFit="1" customWidth="1"/>
    <col min="5" max="5" width="18" customWidth="1"/>
    <col min="6" max="6" width="21" bestFit="1" customWidth="1"/>
    <col min="7" max="7" width="15.88671875" customWidth="1"/>
    <col min="8" max="8" width="21" bestFit="1" customWidth="1"/>
    <col min="10" max="10" width="30" customWidth="1"/>
    <col min="11" max="11" width="26.88671875" customWidth="1"/>
    <col min="12" max="12" width="39.5546875" customWidth="1"/>
    <col min="13" max="13" width="23.33203125" customWidth="1"/>
    <col min="14" max="14" width="28" customWidth="1"/>
    <col min="15" max="15" width="18.88671875" customWidth="1"/>
    <col min="16" max="16" width="16.6640625" bestFit="1" customWidth="1"/>
    <col min="17" max="17" width="22.44140625" customWidth="1"/>
    <col min="18" max="18" width="16.33203125" bestFit="1" customWidth="1"/>
    <col min="19" max="19" width="21" bestFit="1" customWidth="1"/>
  </cols>
  <sheetData>
    <row r="1" spans="1:23" s="188" customFormat="1" ht="28.5" customHeight="1">
      <c r="A1" s="235" t="str" cm="1">
        <f t="array" ref="A1">Translatefct(170,0)</f>
        <v>XLOOKUP</v>
      </c>
      <c r="B1" s="235"/>
      <c r="C1" s="235"/>
      <c r="D1" s="235"/>
      <c r="E1" s="252" t="str" cm="1">
        <f t="array" ref="E1">Translatefct(170,1)</f>
        <v>Advanced replacement for VLOOKUP and HLOOKUP, allowing for flexible lookups.
XLOOKUP(lookup_value, lookup_array, return_array, [if_not_found], [match_mode], [search_mode])</v>
      </c>
      <c r="F1" s="252"/>
      <c r="G1" s="252"/>
      <c r="H1" s="252"/>
      <c r="I1" s="252"/>
      <c r="J1" s="252"/>
      <c r="K1" s="256" t="s">
        <v>1092</v>
      </c>
      <c r="L1" s="190"/>
      <c r="M1" s="190"/>
      <c r="N1" s="190"/>
      <c r="O1" s="189"/>
      <c r="Q1" s="189"/>
    </row>
    <row r="2" spans="1:23" s="188" customFormat="1" ht="21.75" customHeight="1" thickBot="1">
      <c r="A2" s="236"/>
      <c r="B2" s="236"/>
      <c r="C2" s="236"/>
      <c r="D2" s="236"/>
      <c r="E2" s="252"/>
      <c r="F2" s="252"/>
      <c r="G2" s="252"/>
      <c r="H2" s="252"/>
      <c r="I2" s="252"/>
      <c r="J2" s="252"/>
      <c r="K2" s="191"/>
      <c r="L2" s="191"/>
      <c r="M2" s="191"/>
      <c r="N2" s="191"/>
      <c r="O2" s="189"/>
      <c r="Q2" s="189"/>
    </row>
    <row r="3" spans="1:23" s="186" customFormat="1" ht="12.75" customHeight="1">
      <c r="A3" s="192"/>
      <c r="M3" s="187"/>
      <c r="O3" s="187"/>
      <c r="Q3" s="187"/>
      <c r="S3" s="187"/>
      <c r="U3" s="187"/>
      <c r="W3" s="187"/>
    </row>
    <row r="4" spans="1:23" ht="156" customHeight="1">
      <c r="D4" s="25" t="str">
        <f ca="1">_xlfn.FORMULATEXT(E8)</f>
        <v>=XLOOKUP([@[Nom / Name]];tbl_bonus[Nom];tbl_bonus[Bonus %];0)*D8</v>
      </c>
    </row>
    <row r="5" spans="1:23" ht="18">
      <c r="F5" s="25" t="str">
        <f ca="1">_xlfn.FORMULATEXT(G25)</f>
        <v>=XLOOKUP(D25;$G$58:$G$62;$H$58:$H$62;;-1)*D25</v>
      </c>
    </row>
    <row r="6" spans="1:23" s="28" customFormat="1" ht="25.5" customHeight="1">
      <c r="B6" s="113" t="s">
        <v>948</v>
      </c>
      <c r="J6" s="95" t="str" cm="1">
        <f t="array" ref="J6">"A. "&amp;TranslateMe(70)</f>
        <v>A. Basic XLOOKUP (to the left)</v>
      </c>
      <c r="K6" s="95"/>
      <c r="L6"/>
      <c r="M6"/>
      <c r="N6"/>
      <c r="O6"/>
      <c r="P6"/>
    </row>
    <row r="7" spans="1:23" ht="18">
      <c r="B7" s="153" t="s">
        <v>949</v>
      </c>
      <c r="C7" s="153" t="s">
        <v>950</v>
      </c>
      <c r="D7" s="153" t="s">
        <v>951</v>
      </c>
      <c r="E7" s="153" t="s">
        <v>630</v>
      </c>
      <c r="F7" s="153" t="s">
        <v>952</v>
      </c>
      <c r="G7" s="153" t="s">
        <v>953</v>
      </c>
      <c r="H7" s="153" t="s">
        <v>766</v>
      </c>
      <c r="I7" s="3"/>
      <c r="J7" s="98">
        <v>2000</v>
      </c>
    </row>
    <row r="8" spans="1:23" ht="23.4">
      <c r="B8" s="9">
        <v>1980</v>
      </c>
      <c r="C8" s="5" t="s">
        <v>923</v>
      </c>
      <c r="D8" s="159">
        <v>150000</v>
      </c>
      <c r="E8" s="160">
        <f>_xlfn.XLOOKUP(tbl_Presidents[[#This Row],[Nom / Name]],tbl_bonus[Nom],tbl_bonus[Bonus %],0)*D8</f>
        <v>33000</v>
      </c>
      <c r="F8" s="159">
        <f>D8+E8</f>
        <v>183000</v>
      </c>
      <c r="G8" s="161">
        <f>_xlfn.XLOOKUP(D8,$G$58:$G$62,$H$58:$H$62,,-1)*D8</f>
        <v>0</v>
      </c>
      <c r="H8" s="159">
        <f t="shared" ref="H8:H25" si="0">SUM(F8:G8)</f>
        <v>183000</v>
      </c>
      <c r="I8" s="46"/>
      <c r="J8" s="96" t="str">
        <f>_xlfn.XLOOKUP($J$7,tbl_Presidents[Année / Year],tbl_Presidents[Nom / Name])</f>
        <v>Adolf Ogi</v>
      </c>
      <c r="K8" s="25"/>
    </row>
    <row r="9" spans="1:23" ht="18">
      <c r="B9" s="9">
        <v>1981</v>
      </c>
      <c r="C9" s="5" t="s">
        <v>924</v>
      </c>
      <c r="D9" s="159">
        <v>150818</v>
      </c>
      <c r="E9" s="160">
        <f>_xlfn.XLOOKUP(tbl_Presidents[[#This Row],[Nom / Name]],tbl_bonus[Nom],tbl_bonus[Bonus %],0)*D9</f>
        <v>37704.5</v>
      </c>
      <c r="F9" s="159">
        <f t="shared" ref="F9:F25" si="1">D9+E9</f>
        <v>188522.5</v>
      </c>
      <c r="G9" s="161">
        <f t="shared" ref="G8:G52" si="2">_xlfn.XLOOKUP(D9,$G$58:$G$62,$H$58:$H$62,,-1)*D9</f>
        <v>0</v>
      </c>
      <c r="H9" s="159">
        <f t="shared" si="0"/>
        <v>188522.5</v>
      </c>
      <c r="I9" s="46"/>
      <c r="T9" s="25"/>
    </row>
    <row r="10" spans="1:23" ht="18">
      <c r="B10" s="9">
        <v>1982</v>
      </c>
      <c r="C10" s="5" t="s">
        <v>925</v>
      </c>
      <c r="D10" s="159">
        <v>151624</v>
      </c>
      <c r="E10" s="160">
        <f>_xlfn.XLOOKUP(tbl_Presidents[[#This Row],[Nom / Name]],tbl_bonus[Nom],tbl_bonus[Bonus %],0)*D10</f>
        <v>37906</v>
      </c>
      <c r="F10" s="159">
        <f t="shared" si="1"/>
        <v>189530</v>
      </c>
      <c r="G10" s="161">
        <f t="shared" si="2"/>
        <v>0</v>
      </c>
      <c r="H10" s="159">
        <f t="shared" si="0"/>
        <v>189530</v>
      </c>
      <c r="I10" s="46"/>
    </row>
    <row r="11" spans="1:23" ht="18">
      <c r="B11" s="9">
        <v>1983</v>
      </c>
      <c r="C11" s="5" t="s">
        <v>926</v>
      </c>
      <c r="D11" s="159">
        <v>152499</v>
      </c>
      <c r="E11" s="160">
        <f>_xlfn.XLOOKUP(tbl_Presidents[[#This Row],[Nom / Name]],tbl_bonus[Nom],tbl_bonus[Bonus %],0)*D11</f>
        <v>38124.75</v>
      </c>
      <c r="F11" s="159">
        <f t="shared" si="1"/>
        <v>190623.75</v>
      </c>
      <c r="G11" s="161">
        <f t="shared" si="2"/>
        <v>0</v>
      </c>
      <c r="H11" s="159">
        <f t="shared" si="0"/>
        <v>190623.75</v>
      </c>
      <c r="I11" s="46"/>
      <c r="R11" s="46"/>
    </row>
    <row r="12" spans="1:23" ht="18">
      <c r="B12" s="9">
        <v>1984</v>
      </c>
      <c r="C12" s="5" t="s">
        <v>927</v>
      </c>
      <c r="D12" s="159">
        <v>152384</v>
      </c>
      <c r="E12" s="160">
        <f>_xlfn.XLOOKUP(tbl_Presidents[[#This Row],[Nom / Name]],tbl_bonus[Nom],tbl_bonus[Bonus %],0)*D12</f>
        <v>38096</v>
      </c>
      <c r="F12" s="159">
        <f t="shared" si="1"/>
        <v>190480</v>
      </c>
      <c r="G12" s="161">
        <f t="shared" si="2"/>
        <v>0</v>
      </c>
      <c r="H12" s="159">
        <f t="shared" si="0"/>
        <v>190480</v>
      </c>
      <c r="I12" s="46"/>
      <c r="R12" s="46"/>
    </row>
    <row r="13" spans="1:23" ht="18">
      <c r="B13" s="9">
        <v>1985</v>
      </c>
      <c r="C13" s="5" t="s">
        <v>928</v>
      </c>
      <c r="D13" s="159">
        <v>154665</v>
      </c>
      <c r="E13" s="160">
        <f>_xlfn.XLOOKUP(tbl_Presidents[[#This Row],[Nom / Name]],tbl_bonus[Nom],tbl_bonus[Bonus %],0)*D13</f>
        <v>37119.599999999999</v>
      </c>
      <c r="F13" s="159">
        <f t="shared" si="1"/>
        <v>191784.6</v>
      </c>
      <c r="G13" s="161">
        <f t="shared" si="2"/>
        <v>0</v>
      </c>
      <c r="H13" s="159">
        <f t="shared" si="0"/>
        <v>191784.6</v>
      </c>
      <c r="I13" s="46"/>
      <c r="R13" s="46"/>
    </row>
    <row r="14" spans="1:23" ht="33.6">
      <c r="B14" s="9">
        <v>1986</v>
      </c>
      <c r="C14" s="5" t="s">
        <v>928</v>
      </c>
      <c r="D14" s="159">
        <v>155766</v>
      </c>
      <c r="E14" s="160">
        <f>_xlfn.XLOOKUP(tbl_Presidents[[#This Row],[Nom / Name]],tbl_bonus[Nom],tbl_bonus[Bonus %],0)*D14</f>
        <v>37383.839999999997</v>
      </c>
      <c r="F14" s="159">
        <f t="shared" si="1"/>
        <v>193149.84</v>
      </c>
      <c r="G14" s="161">
        <f t="shared" si="2"/>
        <v>0</v>
      </c>
      <c r="H14" s="159">
        <f t="shared" si="0"/>
        <v>193149.84</v>
      </c>
      <c r="I14" s="46"/>
      <c r="J14" s="95" t="str" cm="1">
        <f t="array" ref="J14">"B. "&amp;TranslateMe(71)</f>
        <v>B. XLOOKUP multiple values</v>
      </c>
      <c r="K14" s="95"/>
      <c r="M14" s="95" t="str" cm="1">
        <f t="array" ref="M14">"C. "&amp;TranslateMe(72)</f>
        <v>C. XLOOKUP multiple results</v>
      </c>
      <c r="N14" s="95"/>
      <c r="O14" s="95"/>
    </row>
    <row r="15" spans="1:23" ht="23.4">
      <c r="B15" s="9">
        <v>1987</v>
      </c>
      <c r="C15" s="5" t="s">
        <v>929</v>
      </c>
      <c r="D15" s="159">
        <v>155124</v>
      </c>
      <c r="E15" s="160">
        <f>_xlfn.XLOOKUP(tbl_Presidents[[#This Row],[Nom / Name]],tbl_bonus[Nom],tbl_bonus[Bonus %],0)*D15</f>
        <v>35678.520000000004</v>
      </c>
      <c r="F15" s="159">
        <f t="shared" si="1"/>
        <v>190802.52000000002</v>
      </c>
      <c r="G15" s="161">
        <f t="shared" si="2"/>
        <v>0</v>
      </c>
      <c r="H15" s="159">
        <f t="shared" si="0"/>
        <v>190802.52000000002</v>
      </c>
      <c r="I15" s="46"/>
      <c r="J15" s="98" t="s">
        <v>925</v>
      </c>
      <c r="K15" s="96" cm="1">
        <f t="array" ref="K15:K17">_xlfn.XLOOKUP(J15:J17,tbl_Presidents[Nom / Name],tbl_Presidents[Année / Year])</f>
        <v>1982</v>
      </c>
      <c r="M15" s="98" t="s">
        <v>932</v>
      </c>
      <c r="O15" s="46"/>
      <c r="P15" s="46"/>
      <c r="Q15" s="46"/>
    </row>
    <row r="16" spans="1:23" ht="23.4">
      <c r="B16" s="9">
        <v>1988</v>
      </c>
      <c r="C16" s="5" t="s">
        <v>846</v>
      </c>
      <c r="D16" s="159">
        <v>155072</v>
      </c>
      <c r="E16" s="160">
        <f>_xlfn.XLOOKUP(tbl_Presidents[[#This Row],[Nom / Name]],tbl_bonus[Nom],tbl_bonus[Bonus %],0)*D16</f>
        <v>35666.560000000005</v>
      </c>
      <c r="F16" s="159">
        <f t="shared" si="1"/>
        <v>190738.56</v>
      </c>
      <c r="G16" s="161">
        <f t="shared" si="2"/>
        <v>0</v>
      </c>
      <c r="H16" s="159">
        <f t="shared" si="0"/>
        <v>190738.56</v>
      </c>
      <c r="I16" s="46"/>
      <c r="J16" s="98" t="s">
        <v>846</v>
      </c>
      <c r="K16" s="96">
        <v>1988</v>
      </c>
      <c r="M16" s="96" t="str" cm="1">
        <f t="array" ref="M16:O16">_xlfn.XLOOKUP($M$15,tbl_Presidents[Nom / Name],tbl_Presidents[[Nom / Name]:[Bonus]])</f>
        <v>Flavio Cotti</v>
      </c>
      <c r="N16" s="96">
        <v>159548</v>
      </c>
      <c r="O16" s="96">
        <v>30314.12</v>
      </c>
    </row>
    <row r="17" spans="2:17" ht="23.4">
      <c r="B17" s="9">
        <v>1989</v>
      </c>
      <c r="C17" s="5" t="s">
        <v>930</v>
      </c>
      <c r="D17" s="159">
        <v>156273</v>
      </c>
      <c r="E17" s="160">
        <f>_xlfn.XLOOKUP(tbl_Presidents[[#This Row],[Nom / Name]],tbl_bonus[Nom],tbl_bonus[Bonus %],0)*D17</f>
        <v>32817.33</v>
      </c>
      <c r="F17" s="159">
        <f t="shared" si="1"/>
        <v>189090.33000000002</v>
      </c>
      <c r="G17" s="161">
        <f t="shared" si="2"/>
        <v>0</v>
      </c>
      <c r="H17" s="159">
        <f t="shared" si="0"/>
        <v>189090.33000000002</v>
      </c>
      <c r="I17" s="46"/>
      <c r="J17" s="98" t="s">
        <v>930</v>
      </c>
      <c r="K17" s="96">
        <v>1989</v>
      </c>
      <c r="O17" s="46"/>
      <c r="P17" s="46"/>
      <c r="Q17" s="46"/>
    </row>
    <row r="18" spans="2:17" ht="18">
      <c r="B18" s="9">
        <v>1990</v>
      </c>
      <c r="C18" s="5" t="s">
        <v>931</v>
      </c>
      <c r="D18" s="159">
        <v>156720</v>
      </c>
      <c r="E18" s="160">
        <f>_xlfn.XLOOKUP(tbl_Presidents[[#This Row],[Nom / Name]],tbl_bonus[Nom],tbl_bonus[Bonus %],0)*D18</f>
        <v>31344</v>
      </c>
      <c r="F18" s="159">
        <f t="shared" si="1"/>
        <v>188064</v>
      </c>
      <c r="G18" s="161">
        <f t="shared" si="2"/>
        <v>0</v>
      </c>
      <c r="H18" s="159">
        <f t="shared" si="0"/>
        <v>188064</v>
      </c>
      <c r="I18" s="46"/>
      <c r="J18" s="46"/>
      <c r="K18" s="46"/>
      <c r="L18" s="46"/>
    </row>
    <row r="19" spans="2:17" ht="18">
      <c r="B19" s="9">
        <v>1991</v>
      </c>
      <c r="C19" s="5" t="s">
        <v>932</v>
      </c>
      <c r="D19" s="159">
        <v>159548</v>
      </c>
      <c r="E19" s="160">
        <f>_xlfn.XLOOKUP(tbl_Presidents[[#This Row],[Nom / Name]],tbl_bonus[Nom],tbl_bonus[Bonus %],0)*D19</f>
        <v>30314.12</v>
      </c>
      <c r="F19" s="159">
        <f t="shared" si="1"/>
        <v>189862.12</v>
      </c>
      <c r="G19" s="161">
        <f t="shared" si="2"/>
        <v>0</v>
      </c>
      <c r="H19" s="159">
        <f t="shared" si="0"/>
        <v>189862.12</v>
      </c>
      <c r="I19" s="46"/>
    </row>
    <row r="20" spans="2:17" ht="18">
      <c r="B20" s="9">
        <v>1992</v>
      </c>
      <c r="C20" s="5" t="s">
        <v>933</v>
      </c>
      <c r="D20" s="159">
        <v>157848</v>
      </c>
      <c r="E20" s="160">
        <f>_xlfn.XLOOKUP(tbl_Presidents[[#This Row],[Nom / Name]],tbl_bonus[Nom],tbl_bonus[Bonus %],0)*D20</f>
        <v>28412.639999999999</v>
      </c>
      <c r="F20" s="159">
        <f t="shared" si="1"/>
        <v>186260.64</v>
      </c>
      <c r="G20" s="161">
        <f t="shared" si="2"/>
        <v>0</v>
      </c>
      <c r="H20" s="159">
        <f t="shared" si="0"/>
        <v>186260.64</v>
      </c>
      <c r="I20" s="46"/>
    </row>
    <row r="21" spans="2:17" ht="18">
      <c r="B21" s="9">
        <v>1993</v>
      </c>
      <c r="C21" s="5" t="s">
        <v>934</v>
      </c>
      <c r="D21" s="159">
        <v>160322</v>
      </c>
      <c r="E21" s="160">
        <f>_xlfn.XLOOKUP(tbl_Presidents[[#This Row],[Nom / Name]],tbl_bonus[Nom],tbl_bonus[Bonus %],0)*D21</f>
        <v>28857.96</v>
      </c>
      <c r="F21" s="159">
        <f t="shared" si="1"/>
        <v>189179.96</v>
      </c>
      <c r="G21" s="161">
        <f t="shared" si="2"/>
        <v>8016.1</v>
      </c>
      <c r="H21" s="159">
        <f t="shared" si="0"/>
        <v>197196.06</v>
      </c>
      <c r="I21" s="46"/>
    </row>
    <row r="22" spans="2:17" ht="33.6">
      <c r="B22" s="9">
        <v>1994</v>
      </c>
      <c r="C22" s="5" t="s">
        <v>935</v>
      </c>
      <c r="D22" s="159">
        <v>157868</v>
      </c>
      <c r="E22" s="160">
        <f>_xlfn.XLOOKUP(tbl_Presidents[[#This Row],[Nom / Name]],tbl_bonus[Nom],tbl_bonus[Bonus %],0)*D22</f>
        <v>26837.56</v>
      </c>
      <c r="F22" s="159">
        <f t="shared" si="1"/>
        <v>184705.56</v>
      </c>
      <c r="G22" s="161">
        <f t="shared" si="2"/>
        <v>0</v>
      </c>
      <c r="H22" s="159">
        <f t="shared" si="0"/>
        <v>184705.56</v>
      </c>
      <c r="I22" s="46"/>
      <c r="J22" s="95" t="str" cm="1">
        <f t="array" ref="J22">"D. "&amp;TranslateMe(73)</f>
        <v>D. XLOOKUP with wildcard</v>
      </c>
      <c r="K22" s="95"/>
    </row>
    <row r="23" spans="2:17" ht="18">
      <c r="B23" s="9">
        <v>1995</v>
      </c>
      <c r="C23" s="5" t="s">
        <v>846</v>
      </c>
      <c r="D23" s="159">
        <v>161565</v>
      </c>
      <c r="E23" s="160">
        <f>_xlfn.XLOOKUP(tbl_Presidents[[#This Row],[Nom / Name]],tbl_bonus[Nom],tbl_bonus[Bonus %],0)*D23</f>
        <v>37159.950000000004</v>
      </c>
      <c r="F23" s="159">
        <f t="shared" si="1"/>
        <v>198724.95</v>
      </c>
      <c r="G23" s="161">
        <f t="shared" si="2"/>
        <v>8078.25</v>
      </c>
      <c r="H23" s="159">
        <f t="shared" si="0"/>
        <v>206803.20000000001</v>
      </c>
      <c r="I23" s="46"/>
      <c r="J23" s="98" t="s">
        <v>954</v>
      </c>
    </row>
    <row r="24" spans="2:17" ht="23.4">
      <c r="B24" s="9">
        <v>1996</v>
      </c>
      <c r="C24" s="5" t="s">
        <v>931</v>
      </c>
      <c r="D24" s="159">
        <v>164816</v>
      </c>
      <c r="E24" s="160">
        <f>_xlfn.XLOOKUP(tbl_Presidents[[#This Row],[Nom / Name]],tbl_bonus[Nom],tbl_bonus[Bonus %],0)*D24</f>
        <v>32963.200000000004</v>
      </c>
      <c r="F24" s="159">
        <f t="shared" si="1"/>
        <v>197779.20000000001</v>
      </c>
      <c r="G24" s="161">
        <f t="shared" si="2"/>
        <v>8240.8000000000011</v>
      </c>
      <c r="H24" s="159">
        <f t="shared" si="0"/>
        <v>206020</v>
      </c>
      <c r="I24" s="46"/>
      <c r="J24" s="96">
        <f>_xlfn.XLOOKUP($J$23,tbl_Presidents[Nom / Name],tbl_Presidents[Année / Year],"not found",2)</f>
        <v>1993</v>
      </c>
      <c r="K24" s="25"/>
    </row>
    <row r="25" spans="2:17" ht="18">
      <c r="B25" s="9">
        <v>1997</v>
      </c>
      <c r="C25" s="5" t="s">
        <v>931</v>
      </c>
      <c r="D25" s="159">
        <v>159673</v>
      </c>
      <c r="E25" s="160">
        <f>_xlfn.XLOOKUP(tbl_Presidents[[#This Row],[Nom / Name]],tbl_bonus[Nom],tbl_bonus[Bonus %],0)*D25</f>
        <v>31934.600000000002</v>
      </c>
      <c r="F25" s="159">
        <f t="shared" si="1"/>
        <v>191607.6</v>
      </c>
      <c r="G25" s="161">
        <f t="shared" si="2"/>
        <v>0</v>
      </c>
      <c r="H25" s="159">
        <f t="shared" si="0"/>
        <v>191607.6</v>
      </c>
      <c r="I25" s="46"/>
      <c r="L25" s="28"/>
      <c r="M25" s="28"/>
      <c r="N25" s="28"/>
    </row>
    <row r="26" spans="2:17" ht="18">
      <c r="B26" s="9">
        <v>1998</v>
      </c>
      <c r="C26" s="5" t="s">
        <v>932</v>
      </c>
      <c r="D26" s="159">
        <v>165048</v>
      </c>
      <c r="E26" s="160">
        <f>_xlfn.XLOOKUP(tbl_Presidents[[#This Row],[Nom / Name]],tbl_bonus[Nom],tbl_bonus[Bonus %],0)*D26</f>
        <v>31359.119999999999</v>
      </c>
      <c r="F26" s="159">
        <f t="shared" ref="F26:F52" si="3">D26+E26</f>
        <v>196407.12</v>
      </c>
      <c r="G26" s="161">
        <f t="shared" si="2"/>
        <v>8252.4</v>
      </c>
      <c r="H26" s="159">
        <f t="shared" ref="H26:H52" si="4">SUM(F26:G26)</f>
        <v>204659.52</v>
      </c>
      <c r="I26" s="46"/>
    </row>
    <row r="27" spans="2:17" ht="18">
      <c r="B27" s="9">
        <v>1999</v>
      </c>
      <c r="C27" s="5" t="s">
        <v>936</v>
      </c>
      <c r="D27" s="159">
        <v>166454</v>
      </c>
      <c r="E27" s="160">
        <f>_xlfn.XLOOKUP(tbl_Presidents[[#This Row],[Nom / Name]],tbl_bonus[Nom],tbl_bonus[Bonus %],0)*D27</f>
        <v>36619.879999999997</v>
      </c>
      <c r="F27" s="159">
        <f t="shared" si="3"/>
        <v>203073.88</v>
      </c>
      <c r="G27" s="161">
        <f t="shared" si="2"/>
        <v>8322.7000000000007</v>
      </c>
      <c r="H27" s="159">
        <f t="shared" si="4"/>
        <v>211396.58000000002</v>
      </c>
      <c r="I27" s="46"/>
    </row>
    <row r="28" spans="2:17" ht="18">
      <c r="B28" s="9">
        <v>2000</v>
      </c>
      <c r="C28" s="5" t="s">
        <v>934</v>
      </c>
      <c r="D28" s="159">
        <v>160740</v>
      </c>
      <c r="E28" s="160">
        <f>_xlfn.XLOOKUP(tbl_Presidents[[#This Row],[Nom / Name]],tbl_bonus[Nom],tbl_bonus[Bonus %],0)*D28</f>
        <v>28933.200000000001</v>
      </c>
      <c r="F28" s="159">
        <f t="shared" si="3"/>
        <v>189673.2</v>
      </c>
      <c r="G28" s="161">
        <f t="shared" si="2"/>
        <v>8037</v>
      </c>
      <c r="H28" s="159">
        <f t="shared" si="4"/>
        <v>197710.2</v>
      </c>
      <c r="I28" s="46"/>
    </row>
    <row r="29" spans="2:17" ht="33.6">
      <c r="B29" s="9">
        <v>2001</v>
      </c>
      <c r="C29" s="5" t="s">
        <v>937</v>
      </c>
      <c r="D29" s="159">
        <v>162411</v>
      </c>
      <c r="E29" s="160">
        <f>_xlfn.XLOOKUP(tbl_Presidents[[#This Row],[Nom / Name]],tbl_bonus[Nom],tbl_bonus[Bonus %],0)*D29</f>
        <v>40602.75</v>
      </c>
      <c r="F29" s="159">
        <f t="shared" si="3"/>
        <v>203013.75</v>
      </c>
      <c r="G29" s="161">
        <f t="shared" si="2"/>
        <v>8120.55</v>
      </c>
      <c r="H29" s="159">
        <f t="shared" si="4"/>
        <v>211134.3</v>
      </c>
      <c r="I29" s="46"/>
      <c r="J29" s="95" t="str" cm="1">
        <f t="array" ref="J29">"E. "&amp;TranslateMe(75)</f>
        <v>E. Search Mode</v>
      </c>
      <c r="K29" s="95"/>
      <c r="L29" s="164"/>
      <c r="M29" s="95"/>
    </row>
    <row r="30" spans="2:17" ht="18">
      <c r="B30" s="9">
        <v>2002</v>
      </c>
      <c r="C30" s="5" t="s">
        <v>935</v>
      </c>
      <c r="D30" s="159">
        <v>166104</v>
      </c>
      <c r="E30" s="160">
        <f>_xlfn.XLOOKUP(tbl_Presidents[[#This Row],[Nom / Name]],tbl_bonus[Nom],tbl_bonus[Bonus %],0)*D30</f>
        <v>28237.68</v>
      </c>
      <c r="F30" s="159">
        <f t="shared" si="3"/>
        <v>194341.68</v>
      </c>
      <c r="G30" s="161">
        <f t="shared" si="2"/>
        <v>8305.2000000000007</v>
      </c>
      <c r="H30" s="159">
        <f t="shared" si="4"/>
        <v>202646.88</v>
      </c>
      <c r="I30" s="46"/>
      <c r="J30" s="98" t="s">
        <v>862</v>
      </c>
      <c r="K30" s="98" t="s">
        <v>862</v>
      </c>
    </row>
    <row r="31" spans="2:17" ht="18">
      <c r="B31" s="9">
        <v>2003</v>
      </c>
      <c r="C31" s="5" t="s">
        <v>834</v>
      </c>
      <c r="D31" s="159">
        <v>171827</v>
      </c>
      <c r="E31" s="160">
        <f>_xlfn.XLOOKUP(tbl_Presidents[[#This Row],[Nom / Name]],tbl_bonus[Nom],tbl_bonus[Bonus %],0)*D31</f>
        <v>42956.75</v>
      </c>
      <c r="F31" s="159">
        <f t="shared" si="3"/>
        <v>214783.75</v>
      </c>
      <c r="G31" s="161">
        <f t="shared" si="2"/>
        <v>13746.16</v>
      </c>
      <c r="H31" s="159">
        <f t="shared" si="4"/>
        <v>228529.91</v>
      </c>
      <c r="I31" s="46"/>
      <c r="J31" s="98" t="s">
        <v>765</v>
      </c>
      <c r="K31" s="98" t="s">
        <v>765</v>
      </c>
      <c r="L31" s="3"/>
    </row>
    <row r="32" spans="2:17" ht="23.4">
      <c r="B32" s="9">
        <v>2004</v>
      </c>
      <c r="C32" s="5" t="s">
        <v>938</v>
      </c>
      <c r="D32" s="159">
        <v>170496</v>
      </c>
      <c r="E32" s="160">
        <f>_xlfn.XLOOKUP(tbl_Presidents[[#This Row],[Nom / Name]],tbl_bonus[Nom],tbl_bonus[Bonus %],0)*D32</f>
        <v>40919.040000000001</v>
      </c>
      <c r="F32" s="159">
        <f t="shared" si="3"/>
        <v>211415.04000000001</v>
      </c>
      <c r="G32" s="161">
        <f t="shared" si="2"/>
        <v>13639.68</v>
      </c>
      <c r="H32" s="159">
        <f t="shared" si="4"/>
        <v>225054.72</v>
      </c>
      <c r="I32" s="46"/>
      <c r="J32" s="96">
        <f>_xlfn.XLOOKUP($J$30,tbl_Presidents[Nom / Name],tbl_Presidents[Année / Year])</f>
        <v>2007</v>
      </c>
      <c r="K32" s="96">
        <f>_xlfn.XLOOKUP($K$30,tbl_Presidents[Nom / Name],tbl_Presidents[Année / Year],,0,-1)</f>
        <v>2011</v>
      </c>
      <c r="L32" s="3"/>
    </row>
    <row r="33" spans="2:15" ht="18">
      <c r="B33" s="9">
        <v>2005</v>
      </c>
      <c r="C33" s="5" t="s">
        <v>939</v>
      </c>
      <c r="D33" s="159">
        <v>170900</v>
      </c>
      <c r="E33" s="160">
        <f>_xlfn.XLOOKUP(tbl_Presidents[[#This Row],[Nom / Name]],tbl_bonus[Nom],tbl_bonus[Bonus %],0)*D33</f>
        <v>41016</v>
      </c>
      <c r="F33" s="159">
        <f t="shared" si="3"/>
        <v>211916</v>
      </c>
      <c r="G33" s="161">
        <f t="shared" si="2"/>
        <v>13672</v>
      </c>
      <c r="H33" s="159">
        <f t="shared" si="4"/>
        <v>225588</v>
      </c>
      <c r="I33" s="46"/>
    </row>
    <row r="34" spans="2:15" ht="18">
      <c r="B34" s="9">
        <v>2006</v>
      </c>
      <c r="C34" s="5" t="s">
        <v>937</v>
      </c>
      <c r="D34" s="159">
        <v>163754</v>
      </c>
      <c r="E34" s="160">
        <f>_xlfn.XLOOKUP(tbl_Presidents[[#This Row],[Nom / Name]],tbl_bonus[Nom],tbl_bonus[Bonus %],0)*D34</f>
        <v>40938.5</v>
      </c>
      <c r="F34" s="159">
        <f t="shared" si="3"/>
        <v>204692.5</v>
      </c>
      <c r="G34" s="161">
        <f t="shared" si="2"/>
        <v>8187.7000000000007</v>
      </c>
      <c r="H34" s="159">
        <f t="shared" si="4"/>
        <v>212880.2</v>
      </c>
      <c r="I34" s="46"/>
    </row>
    <row r="35" spans="2:15" ht="18">
      <c r="B35" s="9">
        <v>2007</v>
      </c>
      <c r="C35" s="5" t="s">
        <v>862</v>
      </c>
      <c r="D35" s="159">
        <v>176919</v>
      </c>
      <c r="E35" s="160">
        <f>_xlfn.XLOOKUP(tbl_Presidents[[#This Row],[Nom / Name]],tbl_bonus[Nom],tbl_bonus[Bonus %],0)*D35</f>
        <v>40691.370000000003</v>
      </c>
      <c r="F35" s="159">
        <f t="shared" si="3"/>
        <v>217610.37</v>
      </c>
      <c r="G35" s="161">
        <f t="shared" si="2"/>
        <v>14153.52</v>
      </c>
      <c r="H35" s="159">
        <f t="shared" si="4"/>
        <v>231763.88999999998</v>
      </c>
      <c r="I35" s="46"/>
    </row>
    <row r="36" spans="2:15" ht="18">
      <c r="B36" s="9">
        <v>2008</v>
      </c>
      <c r="C36" s="5" t="s">
        <v>834</v>
      </c>
      <c r="D36" s="159">
        <v>175928</v>
      </c>
      <c r="E36" s="160">
        <f>_xlfn.XLOOKUP(tbl_Presidents[[#This Row],[Nom / Name]],tbl_bonus[Nom],tbl_bonus[Bonus %],0)*D36</f>
        <v>43982</v>
      </c>
      <c r="F36" s="159">
        <f t="shared" si="3"/>
        <v>219910</v>
      </c>
      <c r="G36" s="161">
        <f t="shared" si="2"/>
        <v>14074.24</v>
      </c>
      <c r="H36" s="159">
        <f t="shared" si="4"/>
        <v>233984.24</v>
      </c>
      <c r="I36" s="46"/>
    </row>
    <row r="37" spans="2:15" ht="18">
      <c r="B37" s="9">
        <v>2009</v>
      </c>
      <c r="C37" s="5" t="s">
        <v>940</v>
      </c>
      <c r="D37" s="159">
        <v>174592</v>
      </c>
      <c r="E37" s="160">
        <f>_xlfn.XLOOKUP(tbl_Presidents[[#This Row],[Nom / Name]],tbl_bonus[Nom],tbl_bonus[Bonus %],0)*D37</f>
        <v>34918.400000000001</v>
      </c>
      <c r="F37" s="159">
        <f t="shared" si="3"/>
        <v>209510.39999999999</v>
      </c>
      <c r="G37" s="161">
        <f t="shared" si="2"/>
        <v>13967.36</v>
      </c>
      <c r="H37" s="159">
        <f t="shared" si="4"/>
        <v>223477.76000000001</v>
      </c>
      <c r="I37" s="46"/>
    </row>
    <row r="38" spans="2:15" ht="33.6">
      <c r="B38" s="9">
        <v>2010</v>
      </c>
      <c r="C38" s="5" t="s">
        <v>941</v>
      </c>
      <c r="D38" s="159">
        <v>177180</v>
      </c>
      <c r="E38" s="160">
        <f>_xlfn.XLOOKUP(tbl_Presidents[[#This Row],[Nom / Name]],tbl_bonus[Nom],tbl_bonus[Bonus %],0)*D38</f>
        <v>33664.199999999997</v>
      </c>
      <c r="F38" s="159">
        <f t="shared" si="3"/>
        <v>210844.2</v>
      </c>
      <c r="G38" s="161">
        <f t="shared" si="2"/>
        <v>14174.4</v>
      </c>
      <c r="H38" s="159">
        <f t="shared" si="4"/>
        <v>225018.6</v>
      </c>
      <c r="I38" s="46"/>
      <c r="J38" s="95" t="str" cm="1">
        <f t="array" ref="J38">"F. "&amp;TranslateMe(76)</f>
        <v>F. 2 way XLOOKUP</v>
      </c>
      <c r="K38" s="95"/>
      <c r="M38" s="95" t="str" cm="1">
        <f t="array" ref="M38">"G. "&amp;TranslateMe(76)</f>
        <v>G. 2 way XLOOKUP</v>
      </c>
      <c r="N38" s="95"/>
      <c r="O38" s="95"/>
    </row>
    <row r="39" spans="2:15" ht="18">
      <c r="B39" s="9">
        <v>2011</v>
      </c>
      <c r="C39" s="5" t="s">
        <v>862</v>
      </c>
      <c r="D39" s="159">
        <v>166802</v>
      </c>
      <c r="E39" s="160">
        <f>_xlfn.XLOOKUP(tbl_Presidents[[#This Row],[Nom / Name]],tbl_bonus[Nom],tbl_bonus[Bonus %],0)*D39</f>
        <v>38364.46</v>
      </c>
      <c r="F39" s="159">
        <f t="shared" si="3"/>
        <v>205166.46</v>
      </c>
      <c r="G39" s="161">
        <f t="shared" si="2"/>
        <v>8340.1</v>
      </c>
      <c r="H39" s="159">
        <f t="shared" si="4"/>
        <v>213506.56</v>
      </c>
      <c r="I39" s="46"/>
      <c r="J39" s="98" t="s">
        <v>846</v>
      </c>
      <c r="M39" s="98" t="s">
        <v>925</v>
      </c>
      <c r="N39" s="98" t="s">
        <v>846</v>
      </c>
      <c r="O39" s="98" t="s">
        <v>930</v>
      </c>
    </row>
    <row r="40" spans="2:15" ht="18">
      <c r="B40" s="9">
        <v>2012</v>
      </c>
      <c r="C40" s="5" t="s">
        <v>942</v>
      </c>
      <c r="D40" s="159">
        <v>174000</v>
      </c>
      <c r="E40" s="160">
        <f>_xlfn.XLOOKUP(tbl_Presidents[[#This Row],[Nom / Name]],tbl_bonus[Nom],tbl_bonus[Bonus %],0)*D40</f>
        <v>31320</v>
      </c>
      <c r="F40" s="159">
        <f t="shared" si="3"/>
        <v>205320</v>
      </c>
      <c r="G40" s="161">
        <f t="shared" si="2"/>
        <v>13920</v>
      </c>
      <c r="H40" s="159">
        <f t="shared" si="4"/>
        <v>219240</v>
      </c>
      <c r="I40" s="46"/>
      <c r="J40" s="98" t="s">
        <v>952</v>
      </c>
      <c r="M40" s="98" t="s">
        <v>952</v>
      </c>
    </row>
    <row r="41" spans="2:15" ht="23.4">
      <c r="B41" s="9">
        <v>2013</v>
      </c>
      <c r="C41" s="5" t="s">
        <v>839</v>
      </c>
      <c r="D41" s="159">
        <v>179370</v>
      </c>
      <c r="E41" s="160">
        <f>_xlfn.XLOOKUP(tbl_Presidents[[#This Row],[Nom / Name]],tbl_bonus[Nom],tbl_bonus[Bonus %],0)*D41</f>
        <v>30492.9</v>
      </c>
      <c r="F41" s="159">
        <f t="shared" si="3"/>
        <v>209862.9</v>
      </c>
      <c r="G41" s="161">
        <f t="shared" si="2"/>
        <v>14349.6</v>
      </c>
      <c r="H41" s="159">
        <f t="shared" si="4"/>
        <v>224212.5</v>
      </c>
      <c r="I41" s="46"/>
      <c r="J41" s="96" cm="1">
        <f t="array" ref="J41">_xlfn.XLOOKUP($J$39,$C$8:$C$52,_xlfn.XLOOKUP($J$40,$D$7:$F$7,$D$8:$F$52))</f>
        <v>190738.56</v>
      </c>
      <c r="M41" s="96" cm="1">
        <f t="array" ref="M41:O41">_xlfn.XLOOKUP(M39:O39,$C$8:$C$52,_xlfn.XLOOKUP($M$40,$D$7:$F$7,$D$8:$F$52))</f>
        <v>189530</v>
      </c>
      <c r="N41" s="96">
        <v>190738.56</v>
      </c>
      <c r="O41" s="96">
        <v>189090.33000000002</v>
      </c>
    </row>
    <row r="42" spans="2:15" ht="23.25" customHeight="1">
      <c r="B42" s="9">
        <v>2014</v>
      </c>
      <c r="C42" s="5" t="s">
        <v>943</v>
      </c>
      <c r="D42" s="159">
        <v>176792</v>
      </c>
      <c r="E42" s="160">
        <f>_xlfn.XLOOKUP(tbl_Presidents[[#This Row],[Nom / Name]],tbl_bonus[Nom],tbl_bonus[Bonus %],0)*D42</f>
        <v>24750.880000000001</v>
      </c>
      <c r="F42" s="159">
        <f t="shared" si="3"/>
        <v>201542.88</v>
      </c>
      <c r="G42" s="161">
        <f t="shared" si="2"/>
        <v>14143.36</v>
      </c>
      <c r="H42" s="159">
        <f t="shared" si="4"/>
        <v>215686.24</v>
      </c>
      <c r="I42" s="46"/>
      <c r="J42" s="25" t="str">
        <f ca="1">_xlfn.FORMULATEXT(J41)</f>
        <v>=XLOOKUP($J$39;$C$8:$C$52;XLOOKUP($J$40;$D$7:$F$7;$D$8:$F$52))</v>
      </c>
      <c r="M42" s="25" t="str">
        <f ca="1">_xlfn.FORMULATEXT(M41)</f>
        <v>=XLOOKUP(M39:O39;$C$8:$C$52;XLOOKUP($M$40;$D$7:$F$7;$D$8:$F$52))</v>
      </c>
    </row>
    <row r="43" spans="2:15" ht="18">
      <c r="B43" s="9">
        <v>2015</v>
      </c>
      <c r="C43" s="5" t="s">
        <v>858</v>
      </c>
      <c r="D43" s="159">
        <v>182550</v>
      </c>
      <c r="E43" s="160">
        <f>_xlfn.XLOOKUP(tbl_Presidents[[#This Row],[Nom / Name]],tbl_bonus[Nom],tbl_bonus[Bonus %],0)*D43</f>
        <v>25557.000000000004</v>
      </c>
      <c r="F43" s="159">
        <f t="shared" si="3"/>
        <v>208107</v>
      </c>
      <c r="G43" s="161">
        <f t="shared" si="2"/>
        <v>18255</v>
      </c>
      <c r="H43" s="159">
        <f t="shared" si="4"/>
        <v>226362</v>
      </c>
      <c r="I43" s="46"/>
      <c r="J43" s="25"/>
      <c r="M43" s="25"/>
    </row>
    <row r="44" spans="2:15" ht="18">
      <c r="B44" s="9">
        <v>2016</v>
      </c>
      <c r="C44" s="5" t="s">
        <v>944</v>
      </c>
      <c r="D44" s="159">
        <v>173832</v>
      </c>
      <c r="E44" s="160">
        <f>_xlfn.XLOOKUP(tbl_Presidents[[#This Row],[Nom / Name]],tbl_bonus[Nom],tbl_bonus[Bonus %],0)*D44</f>
        <v>38243.040000000001</v>
      </c>
      <c r="F44" s="159">
        <f t="shared" si="3"/>
        <v>212075.04</v>
      </c>
      <c r="G44" s="161">
        <f t="shared" si="2"/>
        <v>13906.56</v>
      </c>
      <c r="H44" s="159">
        <f t="shared" si="4"/>
        <v>225981.6</v>
      </c>
      <c r="I44" s="46"/>
    </row>
    <row r="45" spans="2:15" ht="18">
      <c r="B45" s="9">
        <v>2017</v>
      </c>
      <c r="C45" s="5" t="s">
        <v>941</v>
      </c>
      <c r="D45" s="159">
        <v>185964</v>
      </c>
      <c r="E45" s="160">
        <f>_xlfn.XLOOKUP(tbl_Presidents[[#This Row],[Nom / Name]],tbl_bonus[Nom],tbl_bonus[Bonus %],0)*D45</f>
        <v>35333.160000000003</v>
      </c>
      <c r="F45" s="159">
        <f t="shared" si="3"/>
        <v>221297.16</v>
      </c>
      <c r="G45" s="161">
        <f t="shared" si="2"/>
        <v>18596.400000000001</v>
      </c>
      <c r="H45" s="159">
        <f t="shared" si="4"/>
        <v>239893.56</v>
      </c>
      <c r="I45" s="46"/>
    </row>
    <row r="46" spans="2:15" ht="18">
      <c r="B46" s="9">
        <v>2018</v>
      </c>
      <c r="C46" s="5" t="s">
        <v>945</v>
      </c>
      <c r="D46" s="159">
        <v>180820</v>
      </c>
      <c r="E46" s="160">
        <f>_xlfn.XLOOKUP(tbl_Presidents[[#This Row],[Nom / Name]],tbl_bonus[Nom],tbl_bonus[Bonus %],0)*D46</f>
        <v>36164</v>
      </c>
      <c r="F46" s="159">
        <f t="shared" si="3"/>
        <v>216984</v>
      </c>
      <c r="G46" s="161">
        <f t="shared" si="2"/>
        <v>18082</v>
      </c>
      <c r="H46" s="159">
        <f t="shared" si="4"/>
        <v>235066</v>
      </c>
      <c r="I46" s="46"/>
    </row>
    <row r="47" spans="2:15" ht="33.6">
      <c r="B47" s="9">
        <v>2019</v>
      </c>
      <c r="C47" s="5" t="s">
        <v>839</v>
      </c>
      <c r="D47" s="159">
        <v>182058</v>
      </c>
      <c r="E47" s="160">
        <f>_xlfn.XLOOKUP(tbl_Presidents[[#This Row],[Nom / Name]],tbl_bonus[Nom],tbl_bonus[Bonus %],0)*D47</f>
        <v>30949.86</v>
      </c>
      <c r="F47" s="159">
        <f t="shared" si="3"/>
        <v>213007.86</v>
      </c>
      <c r="G47" s="161">
        <f t="shared" si="2"/>
        <v>18205.8</v>
      </c>
      <c r="H47" s="159">
        <f t="shared" si="4"/>
        <v>231213.65999999997</v>
      </c>
      <c r="I47" s="46"/>
      <c r="J47" s="95" t="str" cm="1">
        <f t="array" ref="J47">"H. "&amp;TranslateMe(83)</f>
        <v>H. XLOOKUP with 2 lookup values</v>
      </c>
      <c r="K47" s="95"/>
      <c r="L47" s="95"/>
      <c r="M47" s="25"/>
    </row>
    <row r="48" spans="2:15" ht="18">
      <c r="B48" s="9">
        <v>2020</v>
      </c>
      <c r="C48" s="5" t="s">
        <v>858</v>
      </c>
      <c r="D48" s="159">
        <v>181800</v>
      </c>
      <c r="E48" s="160">
        <f>_xlfn.XLOOKUP(tbl_Presidents[[#This Row],[Nom / Name]],tbl_bonus[Nom],tbl_bonus[Bonus %],0)*D48</f>
        <v>25452.000000000004</v>
      </c>
      <c r="F48" s="159">
        <f t="shared" si="3"/>
        <v>207252</v>
      </c>
      <c r="G48" s="161">
        <f t="shared" si="2"/>
        <v>18180</v>
      </c>
      <c r="H48" s="159">
        <f t="shared" si="4"/>
        <v>225432</v>
      </c>
      <c r="I48" s="46"/>
      <c r="J48" s="98" t="s">
        <v>834</v>
      </c>
      <c r="M48" s="25"/>
    </row>
    <row r="49" spans="2:14" ht="18">
      <c r="B49" s="9">
        <v>2021</v>
      </c>
      <c r="C49" s="5" t="s">
        <v>852</v>
      </c>
      <c r="D49" s="159">
        <v>174600</v>
      </c>
      <c r="E49" s="160">
        <f>_xlfn.XLOOKUP(tbl_Presidents[[#This Row],[Nom / Name]],tbl_bonus[Nom],tbl_bonus[Bonus %],0)*D49</f>
        <v>41904</v>
      </c>
      <c r="F49" s="159">
        <f t="shared" si="3"/>
        <v>216504</v>
      </c>
      <c r="G49" s="161">
        <f t="shared" si="2"/>
        <v>13968</v>
      </c>
      <c r="H49" s="159">
        <f t="shared" si="4"/>
        <v>230472</v>
      </c>
      <c r="I49" s="46"/>
      <c r="J49" s="98">
        <v>2008</v>
      </c>
      <c r="M49" s="25"/>
    </row>
    <row r="50" spans="2:14" ht="22.8" customHeight="1">
      <c r="B50" s="9">
        <v>2022</v>
      </c>
      <c r="C50" s="5" t="s">
        <v>844</v>
      </c>
      <c r="D50" s="159">
        <v>189732</v>
      </c>
      <c r="E50" s="160">
        <f>_xlfn.XLOOKUP(tbl_Presidents[[#This Row],[Nom / Name]],tbl_bonus[Nom],tbl_bonus[Bonus %],0)*D50</f>
        <v>45535.68</v>
      </c>
      <c r="F50" s="159">
        <f t="shared" si="3"/>
        <v>235267.68</v>
      </c>
      <c r="G50" s="161">
        <f t="shared" si="2"/>
        <v>18973.2</v>
      </c>
      <c r="H50" s="159">
        <f t="shared" si="4"/>
        <v>254240.88</v>
      </c>
      <c r="I50" s="46"/>
      <c r="J50" s="96" cm="1">
        <f t="array" ref="J50">_xlfn.XLOOKUP($J$48&amp;$J$49,tbl_Presidents[Nom / Name]&amp;tbl_Presidents[Année / Year],tbl_Presidents[Total])</f>
        <v>233984.24</v>
      </c>
      <c r="K50" s="96" cm="1">
        <f t="array" ref="K50">_xlfn.XLOOKUP(1,(tbl_Presidents[Nom / Name]=$J$48)*(tbl_Presidents[Année / Year]=$J$49),tbl_Presidents[Total])</f>
        <v>233984.24</v>
      </c>
      <c r="L50" s="25" t="str">
        <f ca="1">_xlfn.FORMULATEXT(K50)</f>
        <v>=XLOOKUP(1;(tbl_Presidents[Nom / Name]=$J$48)*(tbl_Presidents[Année / Year]=$J$49);tbl_Presidents[Total])</v>
      </c>
    </row>
    <row r="51" spans="2:14" ht="22.8" customHeight="1">
      <c r="B51" s="9">
        <v>2023</v>
      </c>
      <c r="C51" s="5" t="s">
        <v>945</v>
      </c>
      <c r="D51" s="159">
        <v>182054</v>
      </c>
      <c r="E51" s="160">
        <f>_xlfn.XLOOKUP(tbl_Presidents[[#This Row],[Nom / Name]],tbl_bonus[Nom],tbl_bonus[Bonus %],0)*D51</f>
        <v>36410.800000000003</v>
      </c>
      <c r="F51" s="159">
        <f t="shared" si="3"/>
        <v>218464.8</v>
      </c>
      <c r="G51" s="161">
        <f t="shared" si="2"/>
        <v>18205.400000000001</v>
      </c>
      <c r="H51" s="159">
        <f t="shared" si="4"/>
        <v>236670.19999999998</v>
      </c>
      <c r="I51" s="46"/>
      <c r="J51" s="25" t="str">
        <f ca="1">_xlfn.FORMULATEXT(J50)</f>
        <v>=XLOOKUP($J$48&amp;$J$49;tbl_Presidents[Nom / Name]&amp;tbl_Presidents[Année / Year];tbl_Presidents[Total])</v>
      </c>
    </row>
    <row r="52" spans="2:14" ht="22.8" customHeight="1">
      <c r="B52" s="9">
        <v>2024</v>
      </c>
      <c r="C52" s="5" t="s">
        <v>946</v>
      </c>
      <c r="D52" s="159">
        <v>181680</v>
      </c>
      <c r="E52" s="160">
        <f>_xlfn.XLOOKUP(tbl_Presidents[[#This Row],[Nom / Name]],tbl_bonus[Nom],tbl_bonus[Bonus %],0)*D52</f>
        <v>36336</v>
      </c>
      <c r="F52" s="159">
        <f t="shared" si="3"/>
        <v>218016</v>
      </c>
      <c r="G52" s="161">
        <f t="shared" si="2"/>
        <v>18168</v>
      </c>
      <c r="H52" s="159">
        <f t="shared" si="4"/>
        <v>236184</v>
      </c>
      <c r="I52" s="46"/>
    </row>
    <row r="53" spans="2:14" ht="22.8" customHeight="1"/>
    <row r="54" spans="2:14" ht="22.8" customHeight="1"/>
    <row r="56" spans="2:14" ht="33.6">
      <c r="B56" s="5"/>
      <c r="C56" s="9"/>
      <c r="D56" s="9"/>
      <c r="J56" s="95" t="str" cm="1">
        <f t="array" ref="J56">"I. "&amp;TranslateMe(77)</f>
        <v>I. TOP 3</v>
      </c>
      <c r="K56" s="95"/>
      <c r="M56" s="95" t="str" cm="1">
        <f t="array" ref="M56">"J. "&amp;TranslateMe(78)</f>
        <v>J. Summing with XLOOKUP</v>
      </c>
      <c r="N56" s="95"/>
    </row>
    <row r="57" spans="2:14" ht="23.4">
      <c r="B57" s="153" t="s">
        <v>453</v>
      </c>
      <c r="C57" s="153" t="s">
        <v>922</v>
      </c>
      <c r="D57" s="153" t="s">
        <v>830</v>
      </c>
      <c r="G57" s="153" t="s">
        <v>1084</v>
      </c>
      <c r="H57" s="153"/>
      <c r="J57" s="96" cm="1">
        <f t="array" ref="J57:J59">LARGE($H$8:$H$52,_xlfn.SEQUENCE(3))</f>
        <v>254240.88</v>
      </c>
      <c r="K57" s="96" t="str" cm="1">
        <f t="array" ref="K57:K59">_xlfn.XLOOKUP(_xlfn.ANCHORARRAY($J$57),$H$8:$H$52,tbl_Presidents[Nom / Name]:tbl_Presidents[Base])</f>
        <v>Ignazio Cassis</v>
      </c>
      <c r="M57" s="98">
        <v>1990</v>
      </c>
    </row>
    <row r="58" spans="2:14" ht="23.4">
      <c r="B58" s="114">
        <v>1980</v>
      </c>
      <c r="C58" s="115">
        <v>0.22</v>
      </c>
      <c r="D58" s="115" t="s">
        <v>923</v>
      </c>
      <c r="G58" s="111">
        <v>150000</v>
      </c>
      <c r="H58" s="112">
        <v>0</v>
      </c>
      <c r="J58" s="96">
        <v>239893.56</v>
      </c>
      <c r="K58" s="96" t="str">
        <v>Doris Leuthard</v>
      </c>
      <c r="M58" s="98">
        <v>2000</v>
      </c>
    </row>
    <row r="59" spans="2:14" ht="23.4">
      <c r="B59" s="114">
        <v>1981</v>
      </c>
      <c r="C59" s="115">
        <v>0.25</v>
      </c>
      <c r="D59" s="115" t="s">
        <v>924</v>
      </c>
      <c r="G59" s="111">
        <v>160000</v>
      </c>
      <c r="H59" s="112">
        <v>0.05</v>
      </c>
      <c r="J59" s="96">
        <v>236670.19999999998</v>
      </c>
      <c r="K59" s="96" t="str">
        <v>Alain Berset</v>
      </c>
      <c r="M59" s="96">
        <f>SUM(_xlfn.XLOOKUP(M57,tbl_Presidents[Année / Year],tbl_Presidents[Total]):_xlfn.XLOOKUP(M58,tbl_Presidents[Année / Year],tbl_Presidents[Total]))</f>
        <v>2164285.4800000004</v>
      </c>
    </row>
    <row r="60" spans="2:14" ht="21">
      <c r="B60" s="114">
        <v>1982</v>
      </c>
      <c r="C60" s="115">
        <v>0.25</v>
      </c>
      <c r="D60" s="115" t="s">
        <v>925</v>
      </c>
      <c r="G60" s="111">
        <v>170000</v>
      </c>
      <c r="H60" s="112">
        <v>0.08</v>
      </c>
    </row>
    <row r="61" spans="2:14" ht="21">
      <c r="B61" s="114">
        <v>1983</v>
      </c>
      <c r="C61" s="115">
        <v>0.25</v>
      </c>
      <c r="D61" s="115" t="s">
        <v>926</v>
      </c>
      <c r="G61" s="111">
        <v>180000</v>
      </c>
      <c r="H61" s="112">
        <v>0.1</v>
      </c>
      <c r="K61" s="25" t="str">
        <f ca="1">_xlfn.FORMULATEXT(K57)</f>
        <v>=XLOOKUP($J$57#;$H$8:$H$52;tbl_Presidents[Nom / Name]:tbl_Presidents[Base])</v>
      </c>
    </row>
    <row r="62" spans="2:14" ht="21">
      <c r="B62" s="114">
        <v>1984</v>
      </c>
      <c r="C62" s="115">
        <v>0.25</v>
      </c>
      <c r="D62" s="115" t="s">
        <v>927</v>
      </c>
      <c r="G62" s="111">
        <v>190000</v>
      </c>
      <c r="H62" s="112">
        <v>0.15</v>
      </c>
      <c r="K62" s="91" t="str" cm="1">
        <f t="array" ref="K62">TranslateMe(79)</f>
        <v>Notice that if the 1st argument of XLOOKUP is a matrix, only one column is returned</v>
      </c>
      <c r="L62" s="91"/>
      <c r="M62" s="91"/>
    </row>
    <row r="63" spans="2:14" ht="18">
      <c r="B63" s="114">
        <v>1985</v>
      </c>
      <c r="C63" s="115">
        <v>0.24</v>
      </c>
      <c r="D63" s="115" t="s">
        <v>928</v>
      </c>
    </row>
    <row r="64" spans="2:14" ht="18">
      <c r="B64" s="114">
        <v>1986</v>
      </c>
      <c r="C64" s="115">
        <v>0.24</v>
      </c>
      <c r="D64" s="115" t="s">
        <v>928</v>
      </c>
    </row>
    <row r="65" spans="2:14" ht="18">
      <c r="B65" s="114">
        <v>1987</v>
      </c>
      <c r="C65" s="115">
        <v>0.23</v>
      </c>
      <c r="D65" s="115" t="s">
        <v>929</v>
      </c>
    </row>
    <row r="66" spans="2:14" ht="18">
      <c r="B66" s="114">
        <v>1988</v>
      </c>
      <c r="C66" s="115">
        <v>0.23</v>
      </c>
      <c r="D66" s="115" t="s">
        <v>846</v>
      </c>
    </row>
    <row r="67" spans="2:14" ht="18">
      <c r="B67" s="114">
        <v>1989</v>
      </c>
      <c r="C67" s="115">
        <v>0.21</v>
      </c>
      <c r="D67" s="115" t="s">
        <v>930</v>
      </c>
    </row>
    <row r="68" spans="2:14" ht="33.6">
      <c r="B68" s="114">
        <v>1990</v>
      </c>
      <c r="C68" s="115">
        <v>0.2</v>
      </c>
      <c r="D68" s="115" t="s">
        <v>931</v>
      </c>
      <c r="J68" s="95" t="str" cm="1">
        <f t="array" ref="J68">"K. "&amp;TranslateMe(80)</f>
        <v>K. Approximate match</v>
      </c>
      <c r="K68" s="95"/>
      <c r="L68" s="95"/>
      <c r="M68" s="95"/>
    </row>
    <row r="69" spans="2:14" ht="23.4">
      <c r="B69" s="114">
        <v>1991</v>
      </c>
      <c r="C69" s="115">
        <v>0.19</v>
      </c>
      <c r="D69" s="115" t="s">
        <v>932</v>
      </c>
      <c r="J69" s="98" t="s">
        <v>944</v>
      </c>
      <c r="K69" s="163" cm="1">
        <f t="array" ref="K69:K71">_xlfn.XLOOKUP($J$69:$J$71,$C$8:$C$62,$D$8:$D$62,,,-1)</f>
        <v>173832</v>
      </c>
      <c r="L69" s="97" cm="1">
        <f t="array" ref="L69:L71">_xlfn.XLOOKUP(_xlfn.ANCHORARRAY($K$69),$G$58:$G$62,$H$58:$H$62,,-1)</f>
        <v>0.08</v>
      </c>
      <c r="N69" s="3"/>
    </row>
    <row r="70" spans="2:14" ht="23.4">
      <c r="B70" s="114">
        <v>1992</v>
      </c>
      <c r="C70" s="115">
        <v>0.18</v>
      </c>
      <c r="D70" s="115" t="s">
        <v>933</v>
      </c>
      <c r="J70" s="98" t="s">
        <v>846</v>
      </c>
      <c r="K70" s="163">
        <v>161565</v>
      </c>
      <c r="L70" s="97">
        <v>0.05</v>
      </c>
      <c r="N70" s="3"/>
    </row>
    <row r="71" spans="2:14" ht="23.4">
      <c r="B71" s="114">
        <v>1993</v>
      </c>
      <c r="C71" s="115">
        <v>0.18</v>
      </c>
      <c r="D71" s="115" t="s">
        <v>934</v>
      </c>
      <c r="J71" s="98" t="s">
        <v>946</v>
      </c>
      <c r="K71" s="163">
        <v>181680</v>
      </c>
      <c r="L71" s="97">
        <v>0.1</v>
      </c>
      <c r="N71" s="3"/>
    </row>
    <row r="72" spans="2:14" ht="18">
      <c r="B72" s="114">
        <v>1994</v>
      </c>
      <c r="C72" s="115">
        <v>0.17</v>
      </c>
      <c r="D72" s="115" t="s">
        <v>935</v>
      </c>
      <c r="L72" s="25" t="str">
        <f ca="1">_xlfn.FORMULATEXT(L69)</f>
        <v>=XLOOKUP($K$69#;$G$58:$G$62;$H$58:$H$62;;-1)</v>
      </c>
      <c r="N72" s="3"/>
    </row>
    <row r="73" spans="2:14" ht="18">
      <c r="B73" s="114">
        <v>1995</v>
      </c>
      <c r="C73" s="115">
        <v>0.14000000000000001</v>
      </c>
      <c r="D73" s="115" t="s">
        <v>846</v>
      </c>
    </row>
    <row r="74" spans="2:14" ht="18">
      <c r="B74" s="114">
        <v>1996</v>
      </c>
      <c r="C74" s="115">
        <v>0.14000000000000001</v>
      </c>
      <c r="D74" s="115" t="s">
        <v>931</v>
      </c>
    </row>
    <row r="75" spans="2:14" ht="18">
      <c r="B75" s="114">
        <v>1997</v>
      </c>
      <c r="C75" s="115">
        <v>0.12</v>
      </c>
      <c r="D75" s="115" t="s">
        <v>931</v>
      </c>
    </row>
    <row r="76" spans="2:14" ht="18">
      <c r="B76" s="114">
        <v>1998</v>
      </c>
      <c r="C76" s="115">
        <v>0.15</v>
      </c>
      <c r="D76" s="115" t="s">
        <v>932</v>
      </c>
    </row>
    <row r="77" spans="2:14" ht="33.6">
      <c r="B77" s="114">
        <v>1999</v>
      </c>
      <c r="C77" s="115">
        <v>0.22</v>
      </c>
      <c r="D77" s="115" t="s">
        <v>936</v>
      </c>
      <c r="J77" s="162" t="str" cm="1">
        <f t="array" ref="J77">"L. "&amp;TranslateMe(81)</f>
        <v>L. Sum of all bonuses for the TOP 3</v>
      </c>
      <c r="K77" s="95"/>
      <c r="L77" s="95"/>
    </row>
    <row r="78" spans="2:14" ht="23.4">
      <c r="B78" s="114">
        <v>2000</v>
      </c>
      <c r="C78" s="115">
        <v>0.25</v>
      </c>
      <c r="D78" s="115" t="s">
        <v>934</v>
      </c>
      <c r="J78" s="96" cm="1">
        <f t="array" ref="J78">SUM(_xlfn.XLOOKUP(_xlfn.ANCHORARRAY($J$57),tbl_Presidents[Total],tbl_Presidents[[Extra Bonus ]]),_xlfn.XLOOKUP(_xlfn.ANCHORARRAY($J$57),tbl_Presidents[Total],tbl_Presidents[Bonus]))</f>
        <v>173054.64</v>
      </c>
    </row>
    <row r="79" spans="2:14" ht="18">
      <c r="B79" s="114">
        <v>2001</v>
      </c>
      <c r="C79" s="115">
        <v>0.25</v>
      </c>
      <c r="D79" s="115" t="s">
        <v>937</v>
      </c>
    </row>
    <row r="80" spans="2:14" ht="18">
      <c r="B80" s="114">
        <v>2002</v>
      </c>
      <c r="C80" s="115">
        <v>0.25</v>
      </c>
      <c r="D80" s="115" t="s">
        <v>935</v>
      </c>
    </row>
    <row r="81" spans="2:4" ht="18">
      <c r="B81" s="114">
        <v>2003</v>
      </c>
      <c r="C81" s="115">
        <v>0.25</v>
      </c>
      <c r="D81" s="115" t="s">
        <v>834</v>
      </c>
    </row>
    <row r="82" spans="2:4" ht="18">
      <c r="B82" s="114">
        <v>2004</v>
      </c>
      <c r="C82" s="115">
        <v>0.24</v>
      </c>
      <c r="D82" s="115" t="s">
        <v>938</v>
      </c>
    </row>
    <row r="83" spans="2:4" ht="18">
      <c r="B83" s="114">
        <v>2005</v>
      </c>
      <c r="C83" s="115">
        <v>0.24</v>
      </c>
      <c r="D83" s="115" t="s">
        <v>939</v>
      </c>
    </row>
    <row r="84" spans="2:4" ht="18">
      <c r="B84" s="114">
        <v>2006</v>
      </c>
      <c r="C84" s="115">
        <v>0.23</v>
      </c>
      <c r="D84" s="115" t="s">
        <v>937</v>
      </c>
    </row>
    <row r="85" spans="2:4" ht="18">
      <c r="B85" s="114">
        <v>2007</v>
      </c>
      <c r="C85" s="115">
        <v>0.23</v>
      </c>
      <c r="D85" s="115" t="s">
        <v>862</v>
      </c>
    </row>
    <row r="86" spans="2:4" ht="18">
      <c r="B86" s="114">
        <v>2008</v>
      </c>
      <c r="C86" s="115">
        <v>0.21</v>
      </c>
      <c r="D86" s="115" t="s">
        <v>834</v>
      </c>
    </row>
    <row r="87" spans="2:4" ht="18">
      <c r="B87" s="114">
        <v>2009</v>
      </c>
      <c r="C87" s="115">
        <v>0.2</v>
      </c>
      <c r="D87" s="115" t="s">
        <v>940</v>
      </c>
    </row>
    <row r="88" spans="2:4" ht="18">
      <c r="B88" s="114">
        <v>2010</v>
      </c>
      <c r="C88" s="115">
        <v>0.19</v>
      </c>
      <c r="D88" s="115" t="s">
        <v>941</v>
      </c>
    </row>
    <row r="89" spans="2:4" ht="18">
      <c r="B89" s="114">
        <v>2011</v>
      </c>
      <c r="C89" s="115">
        <v>0.18</v>
      </c>
      <c r="D89" s="115" t="s">
        <v>862</v>
      </c>
    </row>
    <row r="90" spans="2:4" ht="18">
      <c r="B90" s="114">
        <v>2012</v>
      </c>
      <c r="C90" s="115">
        <v>0.18</v>
      </c>
      <c r="D90" s="115" t="s">
        <v>942</v>
      </c>
    </row>
    <row r="91" spans="2:4" ht="18">
      <c r="B91" s="114">
        <v>2013</v>
      </c>
      <c r="C91" s="115">
        <v>0.17</v>
      </c>
      <c r="D91" s="115" t="s">
        <v>839</v>
      </c>
    </row>
    <row r="92" spans="2:4" ht="18">
      <c r="B92" s="114">
        <v>2014</v>
      </c>
      <c r="C92" s="115">
        <v>0.14000000000000001</v>
      </c>
      <c r="D92" s="115" t="s">
        <v>943</v>
      </c>
    </row>
    <row r="93" spans="2:4" ht="18">
      <c r="B93" s="114">
        <v>2015</v>
      </c>
      <c r="C93" s="115">
        <v>0.14000000000000001</v>
      </c>
      <c r="D93" s="115" t="s">
        <v>858</v>
      </c>
    </row>
    <row r="94" spans="2:4" ht="18">
      <c r="B94" s="114">
        <v>2016</v>
      </c>
      <c r="C94" s="115">
        <v>0.22</v>
      </c>
      <c r="D94" s="115" t="s">
        <v>944</v>
      </c>
    </row>
    <row r="95" spans="2:4" ht="18">
      <c r="B95" s="114">
        <v>2017</v>
      </c>
      <c r="C95" s="115">
        <v>0.25</v>
      </c>
      <c r="D95" s="115" t="s">
        <v>941</v>
      </c>
    </row>
    <row r="96" spans="2:4" ht="18">
      <c r="B96" s="114">
        <v>2018</v>
      </c>
      <c r="C96" s="115">
        <v>0.2</v>
      </c>
      <c r="D96" s="115" t="s">
        <v>945</v>
      </c>
    </row>
    <row r="97" spans="2:4" ht="18">
      <c r="B97" s="114">
        <v>2019</v>
      </c>
      <c r="C97" s="115">
        <v>0.25</v>
      </c>
      <c r="D97" s="115" t="s">
        <v>839</v>
      </c>
    </row>
    <row r="98" spans="2:4" ht="18">
      <c r="B98" s="114">
        <v>2020</v>
      </c>
      <c r="C98" s="115">
        <v>0.25</v>
      </c>
      <c r="D98" s="115" t="s">
        <v>858</v>
      </c>
    </row>
    <row r="99" spans="2:4" ht="18">
      <c r="B99" s="114">
        <v>2021</v>
      </c>
      <c r="C99" s="115">
        <v>0.24</v>
      </c>
      <c r="D99" s="115" t="s">
        <v>852</v>
      </c>
    </row>
    <row r="100" spans="2:4" ht="18">
      <c r="B100" s="114">
        <v>2022</v>
      </c>
      <c r="C100" s="115">
        <v>0.24</v>
      </c>
      <c r="D100" s="115" t="s">
        <v>844</v>
      </c>
    </row>
    <row r="101" spans="2:4" ht="18">
      <c r="B101" s="114">
        <v>2023</v>
      </c>
      <c r="C101" s="115">
        <v>0.2</v>
      </c>
      <c r="D101" s="115" t="s">
        <v>945</v>
      </c>
    </row>
    <row r="102" spans="2:4" ht="18">
      <c r="B102" s="114">
        <v>2024</v>
      </c>
      <c r="C102" s="115">
        <v>0.2</v>
      </c>
      <c r="D102" s="115" t="s">
        <v>946</v>
      </c>
    </row>
  </sheetData>
  <mergeCells count="2">
    <mergeCell ref="A1:D2"/>
    <mergeCell ref="E1:J2"/>
  </mergeCells>
  <dataValidations count="2">
    <dataValidation type="list" allowBlank="1" showInputMessage="1" showErrorMessage="1" sqref="J40 M40" xr:uid="{BDC1513B-B15E-483D-A8D2-F9BEAAC5FC72}">
      <formula1>$D$7:$F$7</formula1>
    </dataValidation>
    <dataValidation type="list" allowBlank="1" showInputMessage="1" showErrorMessage="1" sqref="J39 M39:O39 J15:J17 J15:K15 J69:J71 J48" xr:uid="{C6C5D9E9-7139-4A59-8738-9519E65A2383}">
      <formula1>$C$8:$C$52</formula1>
    </dataValidation>
  </dataValidations>
  <pageMargins left="0.7" right="0.7" top="0.75" bottom="0.75" header="0.3" footer="0.3"/>
  <pageSetup paperSize="9" orientation="portrait" r:id="rId1"/>
  <cellWatches>
    <cellWatch r="E25"/>
    <cellWatch r="C25"/>
    <cellWatch r="G25"/>
    <cellWatch r="D25"/>
  </cellWatches>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65536-EDAD-459B-B47A-476DC8D9A53F}">
  <sheetPr codeName="Feuil5"/>
  <dimension ref="A1:W46"/>
  <sheetViews>
    <sheetView workbookViewId="0">
      <selection activeCell="J15" sqref="J15"/>
    </sheetView>
  </sheetViews>
  <sheetFormatPr defaultColWidth="11.44140625" defaultRowHeight="14.4"/>
  <cols>
    <col min="2" max="2" width="17.33203125" bestFit="1" customWidth="1"/>
    <col min="3" max="3" width="17.6640625" bestFit="1" customWidth="1"/>
    <col min="4" max="4" width="15.88671875" bestFit="1" customWidth="1"/>
    <col min="10" max="10" width="33.88671875" bestFit="1" customWidth="1"/>
    <col min="11" max="11" width="3.77734375" customWidth="1"/>
  </cols>
  <sheetData>
    <row r="1" spans="1:23" s="188" customFormat="1" ht="32.25" customHeight="1">
      <c r="A1" s="196" t="str" cm="1">
        <f t="array" ref="A1">Translatefct(960,0)</f>
        <v>RANK.EQ</v>
      </c>
      <c r="B1" s="194"/>
      <c r="C1" s="242" t="str" cm="1">
        <f t="array" ref="C1">Translatefct(960,1)</f>
        <v>Returns the rank of a number in a list of numbers</v>
      </c>
      <c r="D1" s="194"/>
      <c r="F1" s="190"/>
      <c r="G1" s="190"/>
      <c r="H1" s="190"/>
      <c r="I1" s="190"/>
      <c r="J1" s="190"/>
      <c r="K1" s="242" t="s">
        <v>1090</v>
      </c>
      <c r="L1" s="242"/>
      <c r="M1" s="190"/>
      <c r="N1" s="190"/>
      <c r="O1" s="189"/>
      <c r="Q1" s="189"/>
    </row>
    <row r="2" spans="1:23" s="188" customFormat="1" ht="32.25" customHeight="1" thickBot="1">
      <c r="A2" s="196" t="str" cm="1">
        <f t="array" ref="A2">Translatefct(950,0)</f>
        <v>FREQUENCY</v>
      </c>
      <c r="B2" s="195"/>
      <c r="C2" s="242" t="str" cm="1">
        <f t="array" ref="C2">Translatefct(950,1)</f>
        <v>calculates how often values occur within a range of values, and then returns a vertical array of numbers.</v>
      </c>
      <c r="D2" s="195"/>
      <c r="F2" s="190"/>
      <c r="G2" s="190"/>
      <c r="H2" s="190"/>
      <c r="I2" s="191"/>
      <c r="J2" s="191"/>
      <c r="K2" s="242" t="s">
        <v>1091</v>
      </c>
      <c r="L2" s="242"/>
      <c r="M2" s="191"/>
      <c r="N2" s="191"/>
      <c r="O2" s="189"/>
      <c r="Q2" s="189"/>
    </row>
    <row r="3" spans="1:23" s="186" customFormat="1" ht="12.75" customHeight="1">
      <c r="A3" s="192"/>
      <c r="M3" s="187"/>
      <c r="O3" s="187"/>
      <c r="Q3" s="187"/>
      <c r="S3" s="187"/>
      <c r="U3" s="187"/>
      <c r="W3" s="187"/>
    </row>
    <row r="4" spans="1:23" ht="15.6">
      <c r="B4" s="153" t="str" cm="1">
        <f t="array" ref="B4">TranslateMe(165+COLUMN(B4))</f>
        <v>Employee</v>
      </c>
      <c r="C4" s="153" t="str" cm="1">
        <f t="array" ref="C4">TranslateMe(165+COLUMN(C4))</f>
        <v>Security level</v>
      </c>
      <c r="D4" s="153" t="str" cm="1">
        <f t="array" ref="D4">"A. "&amp;TranslateMe(165+COLUMN(D4))</f>
        <v>A. Security ranking</v>
      </c>
      <c r="E4" s="153" t="str" cm="1">
        <f t="array" ref="E4">TranslateMe(165+COLUMN(E4))</f>
        <v>Department</v>
      </c>
      <c r="F4" s="153" t="str" cm="1">
        <f t="array" ref="F4">TranslateMe(165+COLUMN(F4))</f>
        <v>Region</v>
      </c>
      <c r="G4" s="153" t="str" cm="1">
        <f t="array" ref="G4">TranslateMe(165+COLUMN(G4))</f>
        <v>Gender</v>
      </c>
      <c r="H4" s="153" t="str" cm="1">
        <f t="array" ref="H4">TranslateMe(165+COLUMN(H4))</f>
        <v>Born in</v>
      </c>
      <c r="I4" s="153" t="str" cm="1">
        <f t="array" ref="I4">TranslateMe(165+COLUMN(I4))</f>
        <v>Bonus</v>
      </c>
      <c r="J4" s="153" t="str" cm="1">
        <f t="array" ref="J4">"B. "&amp;TranslateMe(165+COLUMN(J4))</f>
        <v>B. Bonus ranking</v>
      </c>
    </row>
    <row r="5" spans="1:23">
      <c r="B5" t="s">
        <v>869</v>
      </c>
      <c r="C5" s="51">
        <v>18</v>
      </c>
      <c r="D5" s="7" cm="1">
        <f t="array" ref="D5:D42">_xlfn.RANK.EQ(C5:C42,$C$5:$C$42)</f>
        <v>22</v>
      </c>
      <c r="E5" t="s">
        <v>804</v>
      </c>
      <c r="F5" t="s">
        <v>871</v>
      </c>
      <c r="G5" t="s">
        <v>801</v>
      </c>
      <c r="H5">
        <v>1968</v>
      </c>
      <c r="I5">
        <v>2508</v>
      </c>
      <c r="J5" cm="1">
        <f t="array" ref="J5:J42">_xlfn.RANK.EQ(I5:I42,$I$5:$I$42)</f>
        <v>32</v>
      </c>
    </row>
    <row r="6" spans="1:23">
      <c r="B6" t="s">
        <v>773</v>
      </c>
      <c r="C6" s="51">
        <v>10</v>
      </c>
      <c r="D6" s="7">
        <v>30</v>
      </c>
      <c r="E6" t="s">
        <v>804</v>
      </c>
      <c r="F6" t="s">
        <v>802</v>
      </c>
      <c r="G6" t="s">
        <v>796</v>
      </c>
      <c r="H6">
        <v>1968</v>
      </c>
      <c r="I6">
        <v>2392</v>
      </c>
      <c r="J6">
        <v>33</v>
      </c>
    </row>
    <row r="7" spans="1:23">
      <c r="B7" t="s">
        <v>903</v>
      </c>
      <c r="C7" s="51">
        <v>28</v>
      </c>
      <c r="D7" s="7">
        <v>12</v>
      </c>
      <c r="E7" t="s">
        <v>794</v>
      </c>
      <c r="F7" t="s">
        <v>797</v>
      </c>
      <c r="G7" t="s">
        <v>801</v>
      </c>
      <c r="H7">
        <v>1970</v>
      </c>
      <c r="I7">
        <v>7119</v>
      </c>
      <c r="J7">
        <v>10</v>
      </c>
    </row>
    <row r="8" spans="1:23">
      <c r="B8" t="s">
        <v>770</v>
      </c>
      <c r="C8" s="51">
        <v>5</v>
      </c>
      <c r="D8" s="7">
        <v>35</v>
      </c>
      <c r="E8" t="s">
        <v>804</v>
      </c>
      <c r="F8" t="s">
        <v>802</v>
      </c>
      <c r="G8" t="s">
        <v>801</v>
      </c>
      <c r="H8">
        <v>1974</v>
      </c>
      <c r="I8">
        <v>1170</v>
      </c>
      <c r="J8">
        <v>35</v>
      </c>
    </row>
    <row r="9" spans="1:23">
      <c r="B9" t="s">
        <v>780</v>
      </c>
      <c r="C9" s="51">
        <v>44</v>
      </c>
      <c r="D9" s="7">
        <v>5</v>
      </c>
      <c r="E9" t="s">
        <v>794</v>
      </c>
      <c r="F9" t="s">
        <v>797</v>
      </c>
      <c r="G9" t="s">
        <v>801</v>
      </c>
      <c r="H9">
        <v>1974</v>
      </c>
      <c r="I9">
        <v>950</v>
      </c>
      <c r="J9">
        <v>37</v>
      </c>
    </row>
    <row r="10" spans="1:23">
      <c r="B10" t="s">
        <v>919</v>
      </c>
      <c r="C10" s="51">
        <v>31</v>
      </c>
      <c r="D10" s="7">
        <v>9</v>
      </c>
      <c r="E10" t="s">
        <v>794</v>
      </c>
      <c r="F10" t="s">
        <v>821</v>
      </c>
      <c r="G10" t="s">
        <v>801</v>
      </c>
      <c r="H10">
        <v>1974</v>
      </c>
      <c r="I10">
        <v>5639</v>
      </c>
      <c r="J10">
        <v>14</v>
      </c>
    </row>
    <row r="11" spans="1:23" ht="15.6">
      <c r="B11" t="s">
        <v>771</v>
      </c>
      <c r="C11" s="51">
        <v>9</v>
      </c>
      <c r="D11" s="7">
        <v>31</v>
      </c>
      <c r="E11" t="s">
        <v>804</v>
      </c>
      <c r="F11" t="s">
        <v>802</v>
      </c>
      <c r="G11" t="s">
        <v>801</v>
      </c>
      <c r="H11">
        <v>1977</v>
      </c>
      <c r="I11">
        <v>3345</v>
      </c>
      <c r="J11">
        <v>25</v>
      </c>
      <c r="L11" s="153" t="s">
        <v>1085</v>
      </c>
      <c r="M11" s="153"/>
      <c r="N11" s="153"/>
      <c r="O11" s="153"/>
    </row>
    <row r="12" spans="1:23" ht="23.4">
      <c r="B12" t="s">
        <v>899</v>
      </c>
      <c r="C12" s="51">
        <v>12</v>
      </c>
      <c r="D12" s="7">
        <v>28</v>
      </c>
      <c r="E12" t="s">
        <v>794</v>
      </c>
      <c r="F12" t="s">
        <v>797</v>
      </c>
      <c r="G12" t="s">
        <v>801</v>
      </c>
      <c r="H12">
        <v>1977</v>
      </c>
      <c r="I12">
        <v>4883</v>
      </c>
      <c r="J12">
        <v>19</v>
      </c>
      <c r="L12" s="3" t="s">
        <v>955</v>
      </c>
      <c r="M12" s="96" cm="1">
        <f t="array" ref="M12:M17">FREQUENCY(H5:H42,L13:L17)</f>
        <v>3</v>
      </c>
      <c r="N12" t="s">
        <v>956</v>
      </c>
    </row>
    <row r="13" spans="1:23" ht="23.4">
      <c r="B13" t="s">
        <v>921</v>
      </c>
      <c r="C13" s="51">
        <v>1</v>
      </c>
      <c r="D13" s="7">
        <v>38</v>
      </c>
      <c r="E13" t="s">
        <v>794</v>
      </c>
      <c r="F13" t="s">
        <v>797</v>
      </c>
      <c r="G13" t="s">
        <v>796</v>
      </c>
      <c r="H13">
        <v>1980</v>
      </c>
      <c r="I13">
        <v>7575</v>
      </c>
      <c r="J13">
        <v>7</v>
      </c>
      <c r="L13">
        <v>1970</v>
      </c>
      <c r="M13" s="96">
        <v>6</v>
      </c>
      <c r="N13" t="s">
        <v>1067</v>
      </c>
    </row>
    <row r="14" spans="1:23" ht="23.4">
      <c r="B14" t="s">
        <v>769</v>
      </c>
      <c r="C14" s="51">
        <v>22</v>
      </c>
      <c r="D14" s="7">
        <v>18</v>
      </c>
      <c r="E14" t="s">
        <v>804</v>
      </c>
      <c r="F14" t="s">
        <v>802</v>
      </c>
      <c r="G14" t="s">
        <v>801</v>
      </c>
      <c r="H14">
        <v>1984</v>
      </c>
      <c r="I14">
        <v>9798</v>
      </c>
      <c r="J14">
        <v>1</v>
      </c>
      <c r="L14">
        <v>1980</v>
      </c>
      <c r="M14" s="96">
        <v>12</v>
      </c>
      <c r="N14" t="s">
        <v>1068</v>
      </c>
    </row>
    <row r="15" spans="1:23" ht="23.4">
      <c r="B15" t="s">
        <v>779</v>
      </c>
      <c r="C15" s="51">
        <v>27</v>
      </c>
      <c r="D15" s="7">
        <v>13</v>
      </c>
      <c r="E15" t="s">
        <v>890</v>
      </c>
      <c r="F15" t="s">
        <v>891</v>
      </c>
      <c r="G15" t="s">
        <v>801</v>
      </c>
      <c r="H15">
        <v>1984</v>
      </c>
      <c r="I15">
        <v>3578</v>
      </c>
      <c r="J15">
        <v>23</v>
      </c>
      <c r="L15">
        <v>1990</v>
      </c>
      <c r="M15" s="96">
        <v>6</v>
      </c>
      <c r="N15" t="s">
        <v>1069</v>
      </c>
    </row>
    <row r="16" spans="1:23" ht="23.4">
      <c r="B16" t="s">
        <v>917</v>
      </c>
      <c r="C16" s="51">
        <v>6</v>
      </c>
      <c r="D16" s="7">
        <v>34</v>
      </c>
      <c r="E16" t="s">
        <v>794</v>
      </c>
      <c r="F16" t="s">
        <v>821</v>
      </c>
      <c r="G16" t="s">
        <v>801</v>
      </c>
      <c r="H16">
        <v>1984</v>
      </c>
      <c r="I16">
        <v>5815</v>
      </c>
      <c r="J16">
        <v>13</v>
      </c>
      <c r="L16">
        <v>2000</v>
      </c>
      <c r="M16" s="96">
        <v>9</v>
      </c>
      <c r="N16" t="s">
        <v>1070</v>
      </c>
    </row>
    <row r="17" spans="2:15" ht="23.4">
      <c r="B17" t="s">
        <v>877</v>
      </c>
      <c r="C17" s="51">
        <v>23</v>
      </c>
      <c r="D17" s="7">
        <v>17</v>
      </c>
      <c r="E17" t="s">
        <v>804</v>
      </c>
      <c r="F17" t="s">
        <v>871</v>
      </c>
      <c r="G17" t="s">
        <v>801</v>
      </c>
      <c r="H17">
        <v>1985</v>
      </c>
      <c r="I17">
        <v>4949</v>
      </c>
      <c r="J17">
        <v>17</v>
      </c>
      <c r="L17">
        <v>2010</v>
      </c>
      <c r="M17" s="96">
        <v>2</v>
      </c>
      <c r="N17" t="s">
        <v>957</v>
      </c>
    </row>
    <row r="18" spans="2:15" ht="18">
      <c r="B18" t="s">
        <v>776</v>
      </c>
      <c r="C18" s="51">
        <v>29</v>
      </c>
      <c r="D18" s="7">
        <v>11</v>
      </c>
      <c r="E18" t="s">
        <v>890</v>
      </c>
      <c r="F18" t="s">
        <v>891</v>
      </c>
      <c r="G18" t="s">
        <v>801</v>
      </c>
      <c r="H18">
        <v>1985</v>
      </c>
      <c r="I18">
        <v>1121</v>
      </c>
      <c r="J18">
        <v>36</v>
      </c>
      <c r="M18" s="25" t="str">
        <f ca="1">_xlfn.FORMULATEXT(M12)</f>
        <v>=FREQUENCY(H5:H42;L13:L17)</v>
      </c>
    </row>
    <row r="19" spans="2:15">
      <c r="B19" t="s">
        <v>909</v>
      </c>
      <c r="C19" s="51">
        <v>15</v>
      </c>
      <c r="D19" s="7">
        <v>25</v>
      </c>
      <c r="E19" t="s">
        <v>794</v>
      </c>
      <c r="F19" t="s">
        <v>821</v>
      </c>
      <c r="G19" t="s">
        <v>796</v>
      </c>
      <c r="H19">
        <v>1985</v>
      </c>
      <c r="I19">
        <v>9252</v>
      </c>
      <c r="J19">
        <v>3</v>
      </c>
    </row>
    <row r="20" spans="2:15">
      <c r="B20" t="s">
        <v>872</v>
      </c>
      <c r="C20" s="51">
        <v>8</v>
      </c>
      <c r="D20" s="7">
        <v>32</v>
      </c>
      <c r="E20" t="s">
        <v>804</v>
      </c>
      <c r="F20" t="s">
        <v>871</v>
      </c>
      <c r="G20" t="s">
        <v>801</v>
      </c>
      <c r="H20">
        <v>1988</v>
      </c>
      <c r="I20">
        <v>3270</v>
      </c>
      <c r="J20">
        <v>26</v>
      </c>
    </row>
    <row r="21" spans="2:15" ht="15.6">
      <c r="B21" t="s">
        <v>774</v>
      </c>
      <c r="C21" s="51">
        <v>21</v>
      </c>
      <c r="D21" s="7">
        <v>19</v>
      </c>
      <c r="E21" t="s">
        <v>804</v>
      </c>
      <c r="F21" t="s">
        <v>802</v>
      </c>
      <c r="G21" t="s">
        <v>796</v>
      </c>
      <c r="H21">
        <v>1988</v>
      </c>
      <c r="I21">
        <v>8257</v>
      </c>
      <c r="J21">
        <v>4</v>
      </c>
      <c r="L21" s="153" t="s">
        <v>1086</v>
      </c>
      <c r="M21" s="153"/>
      <c r="N21" s="153"/>
      <c r="O21" s="153"/>
    </row>
    <row r="22" spans="2:15" ht="23.4">
      <c r="B22" t="s">
        <v>905</v>
      </c>
      <c r="C22" s="51">
        <v>25</v>
      </c>
      <c r="D22" s="7">
        <v>15</v>
      </c>
      <c r="E22" t="s">
        <v>794</v>
      </c>
      <c r="F22" t="s">
        <v>797</v>
      </c>
      <c r="G22" t="s">
        <v>801</v>
      </c>
      <c r="H22">
        <v>1988</v>
      </c>
      <c r="I22">
        <v>3023</v>
      </c>
      <c r="J22">
        <v>28</v>
      </c>
      <c r="L22" s="3" t="s">
        <v>955</v>
      </c>
      <c r="M22" s="96" cm="1">
        <f t="array" ref="M22:M28">FREQUENCY($I$5:$I$42,L23:L28)</f>
        <v>10</v>
      </c>
      <c r="N22" t="str">
        <f>"&lt;= "&amp;L23</f>
        <v>&lt;= 3000</v>
      </c>
    </row>
    <row r="23" spans="2:15" ht="23.4">
      <c r="B23" t="s">
        <v>875</v>
      </c>
      <c r="C23" s="51">
        <v>24</v>
      </c>
      <c r="D23" s="7">
        <v>16</v>
      </c>
      <c r="E23" t="s">
        <v>804</v>
      </c>
      <c r="F23" t="s">
        <v>871</v>
      </c>
      <c r="G23" t="s">
        <v>801</v>
      </c>
      <c r="H23">
        <v>1990</v>
      </c>
      <c r="I23">
        <v>7425</v>
      </c>
      <c r="J23">
        <v>8</v>
      </c>
      <c r="L23">
        <v>3000</v>
      </c>
      <c r="M23" s="96">
        <v>6</v>
      </c>
      <c r="N23" t="str">
        <f>"Between "&amp;L23+1&amp;" and "&amp;L24</f>
        <v>Between 3001 and 4000</v>
      </c>
    </row>
    <row r="24" spans="2:15" ht="23.4">
      <c r="B24" t="s">
        <v>775</v>
      </c>
      <c r="C24" s="51">
        <v>3</v>
      </c>
      <c r="D24" s="7">
        <v>36</v>
      </c>
      <c r="E24" t="s">
        <v>890</v>
      </c>
      <c r="F24" t="s">
        <v>891</v>
      </c>
      <c r="G24" t="s">
        <v>796</v>
      </c>
      <c r="H24">
        <v>1990</v>
      </c>
      <c r="I24">
        <v>2539</v>
      </c>
      <c r="J24">
        <v>31</v>
      </c>
      <c r="L24">
        <v>4000</v>
      </c>
      <c r="M24" s="96">
        <v>7</v>
      </c>
      <c r="N24" t="str">
        <f>"Between "&amp;L24+1&amp;" and "&amp;L25</f>
        <v>Between 4001 and 5000</v>
      </c>
    </row>
    <row r="25" spans="2:15" ht="23.4">
      <c r="B25" t="s">
        <v>958</v>
      </c>
      <c r="C25" s="51">
        <v>61</v>
      </c>
      <c r="D25" s="7">
        <v>1</v>
      </c>
      <c r="E25" t="s">
        <v>794</v>
      </c>
      <c r="F25" t="s">
        <v>797</v>
      </c>
      <c r="G25" t="s">
        <v>811</v>
      </c>
      <c r="H25">
        <v>1990</v>
      </c>
      <c r="I25">
        <v>4324</v>
      </c>
      <c r="J25">
        <v>21</v>
      </c>
      <c r="L25">
        <v>5000</v>
      </c>
      <c r="M25" s="96">
        <v>4</v>
      </c>
      <c r="N25" t="str">
        <f>"Between "&amp;L25+1&amp;" and "&amp;L26</f>
        <v>Between 5001 and 6500</v>
      </c>
    </row>
    <row r="26" spans="2:15" ht="23.4">
      <c r="B26" t="s">
        <v>768</v>
      </c>
      <c r="C26" s="51">
        <v>19</v>
      </c>
      <c r="D26" s="7">
        <v>21</v>
      </c>
      <c r="E26" t="s">
        <v>804</v>
      </c>
      <c r="F26" t="s">
        <v>871</v>
      </c>
      <c r="G26" t="s">
        <v>801</v>
      </c>
      <c r="H26">
        <v>1996</v>
      </c>
      <c r="I26">
        <v>3152</v>
      </c>
      <c r="J26">
        <v>27</v>
      </c>
      <c r="L26">
        <v>6500</v>
      </c>
      <c r="M26" s="96">
        <v>0</v>
      </c>
      <c r="N26" t="str">
        <f>"Between "&amp;L26+1&amp;" and "&amp;L27</f>
        <v>Between 6501 and 7000</v>
      </c>
    </row>
    <row r="27" spans="2:15" ht="23.4">
      <c r="B27" t="s">
        <v>778</v>
      </c>
      <c r="C27" s="51">
        <v>16</v>
      </c>
      <c r="D27" s="7">
        <v>24</v>
      </c>
      <c r="E27" t="s">
        <v>890</v>
      </c>
      <c r="F27" t="s">
        <v>891</v>
      </c>
      <c r="G27" t="s">
        <v>796</v>
      </c>
      <c r="H27">
        <v>1996</v>
      </c>
      <c r="I27">
        <v>4307</v>
      </c>
      <c r="J27">
        <v>22</v>
      </c>
      <c r="L27">
        <v>7000</v>
      </c>
      <c r="M27" s="96">
        <v>7</v>
      </c>
      <c r="N27" t="str">
        <f>"Between "&amp;L27+1&amp;" and "&amp;L28</f>
        <v>Between 7001 and 8000</v>
      </c>
    </row>
    <row r="28" spans="2:15" ht="23.4">
      <c r="B28" t="s">
        <v>915</v>
      </c>
      <c r="C28" s="51">
        <v>26</v>
      </c>
      <c r="D28" s="7">
        <v>14</v>
      </c>
      <c r="E28" t="s">
        <v>794</v>
      </c>
      <c r="F28" t="s">
        <v>821</v>
      </c>
      <c r="G28" t="s">
        <v>801</v>
      </c>
      <c r="H28">
        <v>1996</v>
      </c>
      <c r="I28">
        <v>6412</v>
      </c>
      <c r="J28">
        <v>12</v>
      </c>
      <c r="L28">
        <v>8000</v>
      </c>
      <c r="M28" s="96">
        <v>4</v>
      </c>
      <c r="N28" t="str">
        <f>"&gt; "&amp;L28</f>
        <v>&gt; 8000</v>
      </c>
    </row>
    <row r="29" spans="2:15" ht="18">
      <c r="B29" t="s">
        <v>772</v>
      </c>
      <c r="C29" s="51">
        <v>17</v>
      </c>
      <c r="D29" s="7">
        <v>23</v>
      </c>
      <c r="E29" t="s">
        <v>804</v>
      </c>
      <c r="F29" t="s">
        <v>802</v>
      </c>
      <c r="G29" t="s">
        <v>801</v>
      </c>
      <c r="H29">
        <v>1999</v>
      </c>
      <c r="I29">
        <v>7238</v>
      </c>
      <c r="J29">
        <v>9</v>
      </c>
      <c r="M29" s="25" t="str">
        <f ca="1">_xlfn.FORMULATEXT(M22)</f>
        <v>=FREQUENCY($I$5:$I$42;L23:L28)</v>
      </c>
    </row>
    <row r="30" spans="2:15">
      <c r="B30" t="s">
        <v>901</v>
      </c>
      <c r="C30" s="51">
        <v>20</v>
      </c>
      <c r="D30" s="7">
        <v>20</v>
      </c>
      <c r="E30" t="s">
        <v>794</v>
      </c>
      <c r="F30" t="s">
        <v>797</v>
      </c>
      <c r="G30" t="s">
        <v>801</v>
      </c>
      <c r="H30">
        <v>1999</v>
      </c>
      <c r="I30">
        <v>4434</v>
      </c>
      <c r="J30">
        <v>20</v>
      </c>
    </row>
    <row r="31" spans="2:15">
      <c r="B31" t="s">
        <v>959</v>
      </c>
      <c r="C31" s="51">
        <v>51</v>
      </c>
      <c r="D31" s="7">
        <v>3</v>
      </c>
      <c r="E31" t="s">
        <v>794</v>
      </c>
      <c r="F31" t="s">
        <v>821</v>
      </c>
      <c r="G31" t="s">
        <v>796</v>
      </c>
      <c r="H31">
        <v>1999</v>
      </c>
      <c r="I31">
        <v>4973</v>
      </c>
      <c r="J31">
        <v>16</v>
      </c>
    </row>
    <row r="32" spans="2:15">
      <c r="B32" t="s">
        <v>879</v>
      </c>
      <c r="C32" s="51">
        <v>13</v>
      </c>
      <c r="D32" s="7">
        <v>27</v>
      </c>
      <c r="E32" t="s">
        <v>804</v>
      </c>
      <c r="F32" t="s">
        <v>871</v>
      </c>
      <c r="G32" t="s">
        <v>801</v>
      </c>
      <c r="H32">
        <v>2003</v>
      </c>
      <c r="I32">
        <v>7771</v>
      </c>
      <c r="J32">
        <v>5</v>
      </c>
    </row>
    <row r="33" spans="2:10">
      <c r="B33" t="s">
        <v>893</v>
      </c>
      <c r="C33" s="51">
        <v>30</v>
      </c>
      <c r="D33" s="7">
        <v>10</v>
      </c>
      <c r="E33" t="s">
        <v>890</v>
      </c>
      <c r="F33" t="s">
        <v>891</v>
      </c>
      <c r="G33" t="s">
        <v>801</v>
      </c>
      <c r="H33">
        <v>2003</v>
      </c>
      <c r="I33">
        <v>7111</v>
      </c>
      <c r="J33">
        <v>11</v>
      </c>
    </row>
    <row r="34" spans="2:10">
      <c r="B34" t="s">
        <v>911</v>
      </c>
      <c r="C34" s="51">
        <v>2</v>
      </c>
      <c r="D34" s="7">
        <v>37</v>
      </c>
      <c r="E34" t="s">
        <v>794</v>
      </c>
      <c r="F34" t="s">
        <v>821</v>
      </c>
      <c r="G34" t="s">
        <v>796</v>
      </c>
      <c r="H34">
        <v>2003</v>
      </c>
      <c r="I34">
        <v>9697</v>
      </c>
      <c r="J34">
        <v>2</v>
      </c>
    </row>
    <row r="35" spans="2:10">
      <c r="B35" t="s">
        <v>767</v>
      </c>
      <c r="C35" s="51">
        <v>7</v>
      </c>
      <c r="D35" s="7">
        <v>33</v>
      </c>
      <c r="E35" t="s">
        <v>804</v>
      </c>
      <c r="F35" t="s">
        <v>871</v>
      </c>
      <c r="G35" t="s">
        <v>801</v>
      </c>
      <c r="H35">
        <v>2005</v>
      </c>
      <c r="I35">
        <v>7723</v>
      </c>
      <c r="J35">
        <v>6</v>
      </c>
    </row>
    <row r="36" spans="2:10">
      <c r="B36" t="s">
        <v>777</v>
      </c>
      <c r="C36" s="51">
        <v>14</v>
      </c>
      <c r="D36" s="7">
        <v>26</v>
      </c>
      <c r="E36" t="s">
        <v>890</v>
      </c>
      <c r="F36" t="s">
        <v>891</v>
      </c>
      <c r="G36" t="s">
        <v>796</v>
      </c>
      <c r="H36">
        <v>2005</v>
      </c>
      <c r="I36">
        <v>3496</v>
      </c>
      <c r="J36">
        <v>24</v>
      </c>
    </row>
    <row r="37" spans="2:10">
      <c r="B37" t="s">
        <v>913</v>
      </c>
      <c r="C37" s="51">
        <v>11</v>
      </c>
      <c r="D37" s="7">
        <v>29</v>
      </c>
      <c r="E37" t="s">
        <v>794</v>
      </c>
      <c r="F37" t="s">
        <v>821</v>
      </c>
      <c r="G37" t="s">
        <v>801</v>
      </c>
      <c r="H37">
        <v>2005</v>
      </c>
      <c r="I37">
        <v>1677</v>
      </c>
      <c r="J37">
        <v>34</v>
      </c>
    </row>
    <row r="38" spans="2:10">
      <c r="B38" t="s">
        <v>960</v>
      </c>
      <c r="C38" s="51">
        <v>60</v>
      </c>
      <c r="D38" s="7">
        <v>2</v>
      </c>
      <c r="E38" t="s">
        <v>794</v>
      </c>
      <c r="F38" t="s">
        <v>821</v>
      </c>
      <c r="G38" t="s">
        <v>801</v>
      </c>
      <c r="H38">
        <v>2006</v>
      </c>
      <c r="I38">
        <v>2863</v>
      </c>
      <c r="J38">
        <v>29</v>
      </c>
    </row>
    <row r="39" spans="2:10">
      <c r="B39" t="s">
        <v>961</v>
      </c>
      <c r="C39" s="51">
        <v>41</v>
      </c>
      <c r="D39" s="7">
        <v>7</v>
      </c>
      <c r="E39" t="s">
        <v>794</v>
      </c>
      <c r="F39" t="s">
        <v>821</v>
      </c>
      <c r="G39" t="s">
        <v>801</v>
      </c>
      <c r="H39">
        <v>2007</v>
      </c>
      <c r="I39">
        <v>920</v>
      </c>
      <c r="J39">
        <v>38</v>
      </c>
    </row>
    <row r="40" spans="2:10">
      <c r="B40" t="s">
        <v>962</v>
      </c>
      <c r="C40" s="51">
        <v>42</v>
      </c>
      <c r="D40" s="7">
        <v>6</v>
      </c>
      <c r="E40" t="s">
        <v>794</v>
      </c>
      <c r="F40" t="s">
        <v>821</v>
      </c>
      <c r="G40" t="s">
        <v>796</v>
      </c>
      <c r="H40">
        <v>2009</v>
      </c>
      <c r="I40">
        <v>2659</v>
      </c>
      <c r="J40">
        <v>30</v>
      </c>
    </row>
    <row r="41" spans="2:10">
      <c r="B41" t="s">
        <v>963</v>
      </c>
      <c r="C41" s="51">
        <v>46</v>
      </c>
      <c r="D41" s="7">
        <v>4</v>
      </c>
      <c r="E41" t="s">
        <v>794</v>
      </c>
      <c r="F41" t="s">
        <v>821</v>
      </c>
      <c r="G41" t="s">
        <v>801</v>
      </c>
      <c r="H41">
        <v>2011</v>
      </c>
      <c r="I41">
        <v>5234</v>
      </c>
      <c r="J41">
        <v>15</v>
      </c>
    </row>
    <row r="42" spans="2:10">
      <c r="B42" t="s">
        <v>964</v>
      </c>
      <c r="C42" s="51">
        <v>32</v>
      </c>
      <c r="D42" s="7">
        <v>8</v>
      </c>
      <c r="E42" t="s">
        <v>794</v>
      </c>
      <c r="F42" t="s">
        <v>821</v>
      </c>
      <c r="G42" t="s">
        <v>811</v>
      </c>
      <c r="H42">
        <v>2011</v>
      </c>
      <c r="I42">
        <v>4932</v>
      </c>
      <c r="J42">
        <v>18</v>
      </c>
    </row>
    <row r="46" spans="2:10" ht="18">
      <c r="D46" s="25" t="str">
        <f ca="1">_xlfn.FORMULATEXT($D$5)</f>
        <v>=RANK.EQ(C5:C42;$C$5:$C$42)</v>
      </c>
      <c r="J46" s="25" t="str">
        <f ca="1">_xlfn.FORMULATEXT($J$5)</f>
        <v>=RANK.EQ(I5:I42;$I$5:$I$42)</v>
      </c>
    </row>
  </sheetData>
  <conditionalFormatting sqref="H5:H42">
    <cfRule type="cellIs" dxfId="7" priority="9" operator="between">
      <formula>1991</formula>
      <formula>2000</formula>
    </cfRule>
    <cfRule type="cellIs" dxfId="6" priority="10" operator="between">
      <formula>2001</formula>
      <formula>2010</formula>
    </cfRule>
    <cfRule type="cellIs" dxfId="5" priority="11" operator="between">
      <formula>1981</formula>
      <formula>1990</formula>
    </cfRule>
    <cfRule type="cellIs" dxfId="4" priority="12" operator="between">
      <formula>1971</formula>
      <formula>1980</formula>
    </cfRule>
    <cfRule type="cellIs" dxfId="3" priority="13" operator="lessThan">
      <formula>1971</formula>
    </cfRule>
  </conditionalFormatting>
  <conditionalFormatting sqref="I6:J42 I5">
    <cfRule type="top10" dxfId="2" priority="8" rank="5"/>
  </conditionalFormatting>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5E3AE-5D3A-4379-9932-20F9A92DF6A4}">
  <sheetPr codeName="Feuil3"/>
  <dimension ref="A1:Y33"/>
  <sheetViews>
    <sheetView workbookViewId="0">
      <selection activeCell="D3" sqref="D3"/>
    </sheetView>
  </sheetViews>
  <sheetFormatPr defaultColWidth="9.109375" defaultRowHeight="14.4"/>
  <cols>
    <col min="2" max="7" width="15.109375" customWidth="1"/>
    <col min="8" max="8" width="21.6640625" bestFit="1" customWidth="1"/>
    <col min="9" max="11" width="24.6640625" customWidth="1"/>
    <col min="14" max="14" width="9.5546875" bestFit="1" customWidth="1"/>
  </cols>
  <sheetData>
    <row r="1" spans="1:25" s="188" customFormat="1" ht="32.25" customHeight="1">
      <c r="A1" s="238" t="str" cm="1">
        <f t="array" ref="A1">Translatefct(190,0)</f>
        <v>LET</v>
      </c>
      <c r="B1" s="238"/>
      <c r="C1" s="238"/>
      <c r="D1" s="253" t="str" cm="1">
        <f t="array" ref="D1">Translatefct(190,1)</f>
        <v>Assigns names to calculation results to reuse them within a formula.</v>
      </c>
      <c r="E1" s="190"/>
      <c r="F1" s="190"/>
      <c r="G1" s="190"/>
      <c r="H1" s="190"/>
      <c r="I1" s="190"/>
      <c r="J1" s="190"/>
      <c r="K1" s="190"/>
      <c r="L1" s="190"/>
      <c r="M1" s="190"/>
      <c r="N1" s="190"/>
      <c r="O1" s="189"/>
      <c r="Q1" s="189"/>
    </row>
    <row r="2" spans="1:25" s="199" customFormat="1" ht="32.25" customHeight="1" thickBot="1">
      <c r="A2" s="239"/>
      <c r="B2" s="239"/>
      <c r="C2" s="239"/>
      <c r="D2" s="255" t="s">
        <v>1089</v>
      </c>
      <c r="E2" s="190"/>
      <c r="F2" s="190"/>
      <c r="G2" s="190"/>
      <c r="I2" s="191"/>
      <c r="J2" s="191"/>
      <c r="K2" s="191"/>
      <c r="L2" s="191"/>
      <c r="M2" s="191"/>
      <c r="N2" s="191"/>
      <c r="O2" s="198"/>
      <c r="Q2" s="198"/>
    </row>
    <row r="3" spans="1:25" s="186" customFormat="1" ht="12.75" customHeight="1">
      <c r="A3" s="192"/>
      <c r="M3" s="187"/>
      <c r="O3" s="187"/>
      <c r="Q3" s="187"/>
      <c r="S3" s="187"/>
      <c r="U3" s="187"/>
      <c r="W3" s="187"/>
    </row>
    <row r="5" spans="1:25" ht="18">
      <c r="B5" s="150" t="s">
        <v>965</v>
      </c>
      <c r="C5" s="150" t="s">
        <v>966</v>
      </c>
      <c r="D5" s="150" t="s">
        <v>967</v>
      </c>
      <c r="E5" s="150" t="s">
        <v>1009</v>
      </c>
      <c r="F5" s="150" t="s">
        <v>1010</v>
      </c>
      <c r="G5" s="177" t="s">
        <v>1011</v>
      </c>
      <c r="H5" s="178" t="s">
        <v>1008</v>
      </c>
      <c r="Q5" t="str">
        <f ca="1">_xlfn.FORMULATEXT(G6)</f>
        <v>=LET(var;(C6+D6)/E6-1;IF(var&gt;10%;var;""))</v>
      </c>
      <c r="Y5" s="33" t="s">
        <v>968</v>
      </c>
    </row>
    <row r="6" spans="1:25">
      <c r="B6" t="s">
        <v>969</v>
      </c>
      <c r="C6">
        <v>12000</v>
      </c>
      <c r="D6">
        <v>500</v>
      </c>
      <c r="E6">
        <v>13000</v>
      </c>
      <c r="F6" s="18" t="str">
        <f t="shared" ref="F6:F15" si="0">IF((C6+D6)/E6-1&gt;10%,(C6+D6)/E6-1,"")</f>
        <v/>
      </c>
      <c r="G6" s="176" t="str">
        <f t="shared" ref="G6:G15" si="1">_xlfn.LET(_xlpm.var,(C6+D6)/E6-1,IF(_xlpm.var&gt;10%,_xlpm.var,""))</f>
        <v/>
      </c>
      <c r="H6" s="179">
        <f>_xlfn.LET(_xlpm.num,C6+D6-E6,_xlpm.denom,E6,ROUND(_xlpm.num/_xlpm.denom,2))</f>
        <v>-0.04</v>
      </c>
      <c r="Q6" t="str">
        <f ca="1">_xlfn.FORMULATEXT($H$6)</f>
        <v>=LET(num;C6+D6-E6;denom;E6;ROUND(num/denom;2))</v>
      </c>
      <c r="Y6" s="34" t="s">
        <v>970</v>
      </c>
    </row>
    <row r="7" spans="1:25">
      <c r="B7" t="s">
        <v>971</v>
      </c>
      <c r="C7">
        <v>25000</v>
      </c>
      <c r="D7">
        <v>1200</v>
      </c>
      <c r="E7">
        <v>22500</v>
      </c>
      <c r="F7" s="18">
        <f t="shared" si="0"/>
        <v>0.16444444444444439</v>
      </c>
      <c r="G7" s="176">
        <f t="shared" si="1"/>
        <v>0.16444444444444439</v>
      </c>
      <c r="H7" s="179">
        <f t="shared" ref="H7:H15" si="2">_xlfn.LET(_xlpm.num,C7+D7-E7,_xlpm.denom,E7,ROUND(_xlpm.num/_xlpm.denom,2))</f>
        <v>0.16</v>
      </c>
    </row>
    <row r="8" spans="1:25">
      <c r="B8" t="s">
        <v>972</v>
      </c>
      <c r="C8">
        <v>8000</v>
      </c>
      <c r="D8">
        <v>200</v>
      </c>
      <c r="E8">
        <v>7900</v>
      </c>
      <c r="F8" s="18" t="str">
        <f t="shared" si="0"/>
        <v/>
      </c>
      <c r="G8" s="176" t="str">
        <f t="shared" si="1"/>
        <v/>
      </c>
      <c r="H8" s="179">
        <f t="shared" si="2"/>
        <v>0.04</v>
      </c>
    </row>
    <row r="9" spans="1:25">
      <c r="B9" t="s">
        <v>969</v>
      </c>
      <c r="C9">
        <v>14000</v>
      </c>
      <c r="D9">
        <v>1000</v>
      </c>
      <c r="E9">
        <v>10000</v>
      </c>
      <c r="F9" s="18">
        <f t="shared" si="0"/>
        <v>0.5</v>
      </c>
      <c r="G9" s="176">
        <f t="shared" si="1"/>
        <v>0.5</v>
      </c>
      <c r="H9" s="179">
        <f t="shared" si="2"/>
        <v>0.5</v>
      </c>
    </row>
    <row r="10" spans="1:25">
      <c r="B10" t="s">
        <v>971</v>
      </c>
      <c r="C10">
        <v>28000</v>
      </c>
      <c r="D10">
        <v>1500</v>
      </c>
      <c r="E10">
        <v>27000</v>
      </c>
      <c r="F10" s="18" t="str">
        <f t="shared" si="0"/>
        <v/>
      </c>
      <c r="G10" s="176" t="str">
        <f t="shared" si="1"/>
        <v/>
      </c>
      <c r="H10" s="179">
        <f t="shared" si="2"/>
        <v>0.09</v>
      </c>
    </row>
    <row r="11" spans="1:25">
      <c r="B11" t="s">
        <v>973</v>
      </c>
      <c r="C11">
        <v>65000</v>
      </c>
      <c r="D11">
        <v>4000</v>
      </c>
      <c r="E11">
        <v>60000</v>
      </c>
      <c r="F11" s="18">
        <f t="shared" si="0"/>
        <v>0.14999999999999991</v>
      </c>
      <c r="G11" s="176">
        <f t="shared" si="1"/>
        <v>0.14999999999999991</v>
      </c>
      <c r="H11" s="179">
        <f t="shared" si="2"/>
        <v>0.15</v>
      </c>
    </row>
    <row r="12" spans="1:25">
      <c r="B12" t="s">
        <v>971</v>
      </c>
      <c r="C12">
        <v>52000</v>
      </c>
      <c r="D12">
        <v>500</v>
      </c>
      <c r="E12">
        <v>55000</v>
      </c>
      <c r="F12" s="18" t="str">
        <f t="shared" si="0"/>
        <v/>
      </c>
      <c r="G12" s="176" t="str">
        <f t="shared" si="1"/>
        <v/>
      </c>
      <c r="H12" s="179">
        <f t="shared" si="2"/>
        <v>-0.05</v>
      </c>
    </row>
    <row r="13" spans="1:25">
      <c r="B13" t="s">
        <v>971</v>
      </c>
      <c r="C13">
        <v>41000</v>
      </c>
      <c r="D13">
        <v>0</v>
      </c>
      <c r="E13">
        <v>40000</v>
      </c>
      <c r="F13" s="18" t="str">
        <f t="shared" si="0"/>
        <v/>
      </c>
      <c r="G13" s="176" t="str">
        <f t="shared" si="1"/>
        <v/>
      </c>
      <c r="H13" s="179">
        <f t="shared" si="2"/>
        <v>0.03</v>
      </c>
    </row>
    <row r="14" spans="1:25">
      <c r="B14" t="s">
        <v>974</v>
      </c>
      <c r="C14">
        <v>32000</v>
      </c>
      <c r="D14">
        <v>0</v>
      </c>
      <c r="E14">
        <v>29000</v>
      </c>
      <c r="F14" s="18">
        <f t="shared" si="0"/>
        <v>0.10344827586206895</v>
      </c>
      <c r="G14" s="176">
        <f t="shared" si="1"/>
        <v>0.10344827586206895</v>
      </c>
      <c r="H14" s="179">
        <f t="shared" si="2"/>
        <v>0.1</v>
      </c>
    </row>
    <row r="15" spans="1:25">
      <c r="B15" t="s">
        <v>971</v>
      </c>
      <c r="C15">
        <v>15000</v>
      </c>
      <c r="D15">
        <v>0</v>
      </c>
      <c r="E15">
        <v>10000</v>
      </c>
      <c r="F15" s="18">
        <f t="shared" si="0"/>
        <v>0.5</v>
      </c>
      <c r="G15" s="176">
        <f t="shared" si="1"/>
        <v>0.5</v>
      </c>
      <c r="H15" s="179">
        <f t="shared" si="2"/>
        <v>0.5</v>
      </c>
    </row>
    <row r="21" spans="2:17" ht="18">
      <c r="B21" s="152" t="s">
        <v>1071</v>
      </c>
      <c r="C21" s="152" t="s">
        <v>1072</v>
      </c>
      <c r="D21" s="152" t="s">
        <v>1073</v>
      </c>
      <c r="E21" s="152" t="s">
        <v>1074</v>
      </c>
      <c r="F21" s="152" t="s">
        <v>975</v>
      </c>
      <c r="G21" s="152" t="s">
        <v>766</v>
      </c>
      <c r="H21" s="180" t="s">
        <v>1012</v>
      </c>
      <c r="I21" s="181" t="s">
        <v>1014</v>
      </c>
    </row>
    <row r="22" spans="2:17" ht="18">
      <c r="B22" s="9" t="s">
        <v>976</v>
      </c>
      <c r="C22" s="9" t="s">
        <v>977</v>
      </c>
      <c r="D22" s="9">
        <v>39</v>
      </c>
      <c r="E22" s="9">
        <v>41</v>
      </c>
      <c r="F22" s="9">
        <v>33</v>
      </c>
      <c r="G22" s="9">
        <v>113</v>
      </c>
      <c r="H22" s="141" t="str">
        <f>_xlfn.LET(_xlpm.avg,ROUND(AVERAGE(D$22:D$31),0),_xlpm.variation,E22-_xlpm.avg,IF(D22&gt;_xlpm.avg,$Y$5,$Y$6)&amp;_xlpm.variation)</f>
        <v>▲21</v>
      </c>
      <c r="I22" s="53" t="str">
        <f t="shared" ref="I22:I31" si="3">_xlfn.LET(_xlpm.avg,ROUND(AVERAGE(G$22:G$31),0),_xlpm.variation,G22-_xlpm.avg,_xlpm.signevar,IF(_xlpm.variation &gt; 0,"+",""),_xlpm.perc," ("&amp;_xlpm.signevar&amp;ROUND(_xlpm.variation/_xlpm.avg*100,2)&amp;"%)",IF(G22&gt;_xlpm.avg,$Y$5&amp;_xlpm.signevar,$Y$6) &amp; _xlpm.variation &amp; _xlpm.perc)</f>
        <v>▲+54 (+91,53%)</v>
      </c>
    </row>
    <row r="23" spans="2:17" ht="18">
      <c r="B23" s="9" t="s">
        <v>978</v>
      </c>
      <c r="C23" s="9" t="s">
        <v>979</v>
      </c>
      <c r="D23" s="9">
        <v>38</v>
      </c>
      <c r="E23" s="9">
        <v>32</v>
      </c>
      <c r="F23" s="9">
        <v>19</v>
      </c>
      <c r="G23" s="9">
        <v>89</v>
      </c>
      <c r="H23" s="141" t="str">
        <f t="shared" ref="H23:H31" si="4">_xlfn.LET(_xlpm.avg,ROUND(AVERAGE(D$22:D$31),0),_xlpm.variation,E23-_xlpm.avg,IF(D23&gt;_xlpm.avg,$Y$5,$Y$6)&amp;_xlpm.variation)</f>
        <v>▲12</v>
      </c>
      <c r="I23" s="53" t="str">
        <f t="shared" si="3"/>
        <v>▲+30 (+50,85%)</v>
      </c>
    </row>
    <row r="24" spans="2:17" ht="18">
      <c r="B24" s="9" t="s">
        <v>980</v>
      </c>
      <c r="C24" s="9" t="s">
        <v>1013</v>
      </c>
      <c r="D24" s="9">
        <v>27</v>
      </c>
      <c r="E24" s="9">
        <v>14</v>
      </c>
      <c r="F24" s="9">
        <v>17</v>
      </c>
      <c r="G24" s="9">
        <v>58</v>
      </c>
      <c r="H24" s="141" t="str">
        <f t="shared" si="4"/>
        <v>▲-6</v>
      </c>
      <c r="I24" s="53" t="str">
        <f t="shared" si="3"/>
        <v>▼-1 (-1,69%)</v>
      </c>
      <c r="Q24" t="str">
        <f ca="1">_xlfn.FORMULATEXT(H22)</f>
        <v>=LET(avg;ROUND(AVERAGE(D$22:D$31);0);variation;E22-avg;IF(D22&gt;avg;$Y$5;$Y$6)&amp;variation)</v>
      </c>
    </row>
    <row r="25" spans="2:17" ht="18">
      <c r="B25" s="9" t="s">
        <v>981</v>
      </c>
      <c r="C25" s="9" t="s">
        <v>982</v>
      </c>
      <c r="D25" s="9">
        <v>22</v>
      </c>
      <c r="E25" s="9">
        <v>20</v>
      </c>
      <c r="F25" s="9">
        <v>22</v>
      </c>
      <c r="G25" s="9">
        <v>64</v>
      </c>
      <c r="H25" s="141" t="str">
        <f t="shared" si="4"/>
        <v>▲0</v>
      </c>
      <c r="I25" s="53" t="str">
        <f t="shared" si="3"/>
        <v>▲+5 (+8,47%)</v>
      </c>
      <c r="Q25" t="str">
        <f ca="1">_xlfn.FORMULATEXT(I22)</f>
        <v>=LET(avg;ROUND(AVERAGE(G$22:G$31);0);variation;G22-avg;signevar;IF(variation &gt; 0;"+";"");perc;" ("&amp;signevar&amp;ROUND(variation/avg*100;2)&amp;"%)";IF(G22&gt;avg;$Y$5&amp;signevar;$Y$6) &amp; variation &amp; perc)</v>
      </c>
    </row>
    <row r="26" spans="2:17" ht="18">
      <c r="B26" s="9" t="s">
        <v>983</v>
      </c>
      <c r="C26" s="9" t="s">
        <v>984</v>
      </c>
      <c r="D26" s="9">
        <v>20</v>
      </c>
      <c r="E26" s="9">
        <v>28</v>
      </c>
      <c r="F26" s="9">
        <v>23</v>
      </c>
      <c r="G26" s="9">
        <v>71</v>
      </c>
      <c r="H26" s="141" t="str">
        <f t="shared" si="4"/>
        <v>▼8</v>
      </c>
      <c r="I26" s="53" t="str">
        <f t="shared" si="3"/>
        <v>▲+12 (+20,34%)</v>
      </c>
    </row>
    <row r="27" spans="2:17" ht="18">
      <c r="B27" s="9" t="s">
        <v>985</v>
      </c>
      <c r="C27" s="9" t="s">
        <v>986</v>
      </c>
      <c r="D27" s="9">
        <v>17</v>
      </c>
      <c r="E27" s="9">
        <v>7</v>
      </c>
      <c r="F27" s="9">
        <v>22</v>
      </c>
      <c r="G27" s="9">
        <v>46</v>
      </c>
      <c r="H27" s="141" t="str">
        <f t="shared" si="4"/>
        <v>▼-13</v>
      </c>
      <c r="I27" s="53" t="str">
        <f t="shared" si="3"/>
        <v>▼-13 (-22,03%)</v>
      </c>
    </row>
    <row r="28" spans="2:17" ht="18">
      <c r="B28" s="9" t="s">
        <v>987</v>
      </c>
      <c r="C28" s="9" t="s">
        <v>988</v>
      </c>
      <c r="D28" s="9">
        <v>10</v>
      </c>
      <c r="E28" s="9">
        <v>12</v>
      </c>
      <c r="F28" s="9">
        <v>14</v>
      </c>
      <c r="G28" s="9">
        <v>36</v>
      </c>
      <c r="H28" s="141" t="str">
        <f t="shared" si="4"/>
        <v>▼-8</v>
      </c>
      <c r="I28" s="53" t="str">
        <f t="shared" si="3"/>
        <v>▼-23 (-38,98%)</v>
      </c>
    </row>
    <row r="29" spans="2:17" ht="18">
      <c r="B29" s="9" t="s">
        <v>989</v>
      </c>
      <c r="C29" s="9" t="s">
        <v>990</v>
      </c>
      <c r="D29" s="9">
        <v>10</v>
      </c>
      <c r="E29" s="9">
        <v>12</v>
      </c>
      <c r="F29" s="9">
        <v>11</v>
      </c>
      <c r="G29" s="9">
        <v>33</v>
      </c>
      <c r="H29" s="141" t="str">
        <f t="shared" si="4"/>
        <v>▼-8</v>
      </c>
      <c r="I29" s="53" t="str">
        <f t="shared" si="3"/>
        <v>▼-26 (-44,07%)</v>
      </c>
    </row>
    <row r="30" spans="2:17" ht="18">
      <c r="B30" s="9" t="s">
        <v>991</v>
      </c>
      <c r="C30" s="55" t="s">
        <v>992</v>
      </c>
      <c r="D30" s="9">
        <v>10</v>
      </c>
      <c r="E30" s="9">
        <v>11</v>
      </c>
      <c r="F30" s="9">
        <v>16</v>
      </c>
      <c r="G30" s="9">
        <v>37</v>
      </c>
      <c r="H30" s="141" t="str">
        <f t="shared" si="4"/>
        <v>▼-9</v>
      </c>
      <c r="I30" s="53" t="str">
        <f t="shared" si="3"/>
        <v>▼-22 (-37,29%)</v>
      </c>
    </row>
    <row r="31" spans="2:17" ht="18">
      <c r="B31" s="9" t="s">
        <v>993</v>
      </c>
      <c r="C31" s="9" t="s">
        <v>994</v>
      </c>
      <c r="D31" s="9">
        <v>10</v>
      </c>
      <c r="E31" s="9">
        <v>10</v>
      </c>
      <c r="F31" s="9">
        <v>20</v>
      </c>
      <c r="G31" s="9">
        <v>40</v>
      </c>
      <c r="H31" s="141" t="str">
        <f t="shared" si="4"/>
        <v>▼-10</v>
      </c>
      <c r="I31" s="53" t="str">
        <f t="shared" si="3"/>
        <v>▼-19 (-32,2%)</v>
      </c>
    </row>
    <row r="32" spans="2:17" ht="18">
      <c r="B32" s="9" t="s">
        <v>995</v>
      </c>
      <c r="C32" s="9" t="s">
        <v>996</v>
      </c>
      <c r="D32" s="9">
        <v>137</v>
      </c>
      <c r="E32" s="9">
        <v>151</v>
      </c>
      <c r="F32" s="9">
        <v>205</v>
      </c>
      <c r="G32" s="9">
        <v>493</v>
      </c>
      <c r="H32" s="54"/>
      <c r="I32" s="54"/>
    </row>
    <row r="33" spans="2:9" ht="18">
      <c r="B33" s="9" t="s">
        <v>997</v>
      </c>
      <c r="C33" s="9"/>
      <c r="D33" s="9">
        <v>340</v>
      </c>
      <c r="E33" s="9">
        <v>338</v>
      </c>
      <c r="F33" s="9">
        <v>402</v>
      </c>
      <c r="G33" s="9">
        <v>1080</v>
      </c>
      <c r="H33" s="54"/>
      <c r="I33" s="54"/>
    </row>
  </sheetData>
  <mergeCells count="1">
    <mergeCell ref="A1:C2"/>
  </mergeCells>
  <phoneticPr fontId="2" type="noConversion"/>
  <conditionalFormatting sqref="H22:I31">
    <cfRule type="expression" dxfId="1" priority="1">
      <formula>FIND("-",H22)</formula>
    </cfRule>
    <cfRule type="expression" dxfId="0" priority="3">
      <formula>FIND("▲",H22)</formula>
    </cfRule>
  </conditionalFormatting>
  <pageMargins left="0.7" right="0.7" top="0.75" bottom="0.75" header="0.3" footer="0.3"/>
  <pageSetup paperSize="9" orientation="portrait"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0723D-293A-473C-872F-14B05EDA4405}">
  <sheetPr codeName="Sheet9"/>
  <dimension ref="A1:W67"/>
  <sheetViews>
    <sheetView topLeftCell="A4" workbookViewId="0">
      <selection activeCell="D2" sqref="D2"/>
    </sheetView>
  </sheetViews>
  <sheetFormatPr defaultColWidth="11.44140625" defaultRowHeight="14.4"/>
  <cols>
    <col min="2" max="2" width="13.109375" bestFit="1" customWidth="1"/>
    <col min="3" max="4" width="11.88671875" customWidth="1"/>
    <col min="5" max="5" width="19.33203125" customWidth="1"/>
    <col min="6" max="6" width="19.33203125" bestFit="1" customWidth="1"/>
    <col min="7" max="7" width="20" customWidth="1"/>
    <col min="8" max="8" width="12" bestFit="1" customWidth="1"/>
    <col min="14" max="14" width="17.44140625" bestFit="1" customWidth="1"/>
  </cols>
  <sheetData>
    <row r="1" spans="1:23" s="188" customFormat="1" ht="32.25" customHeight="1" thickBot="1">
      <c r="A1" s="238" t="str" cm="1">
        <f t="array" ref="A1">Translatefct(200,0)</f>
        <v>LAMBDA</v>
      </c>
      <c r="B1" s="238"/>
      <c r="C1" s="238"/>
      <c r="D1" s="254" t="str" cm="1">
        <f t="array" ref="D1">Translatefct(200,1)</f>
        <v>Allows users to define custom, reusable functions.</v>
      </c>
      <c r="E1" s="190"/>
      <c r="F1" s="190"/>
      <c r="G1" s="190"/>
      <c r="H1" s="190"/>
      <c r="I1" s="190"/>
      <c r="J1" s="190"/>
      <c r="K1" s="190"/>
      <c r="L1" s="190"/>
      <c r="M1" s="190"/>
      <c r="N1" s="190"/>
      <c r="O1" s="189"/>
      <c r="Q1" s="189"/>
    </row>
    <row r="2" spans="1:23" s="199" customFormat="1" ht="32.25" customHeight="1" thickBot="1">
      <c r="A2" s="239"/>
      <c r="B2" s="239"/>
      <c r="C2" s="239"/>
      <c r="D2" s="254" t="s">
        <v>1088</v>
      </c>
      <c r="E2" s="190"/>
      <c r="F2" s="190"/>
      <c r="H2" s="190"/>
      <c r="I2" s="191"/>
      <c r="J2" s="191"/>
      <c r="K2" s="191"/>
      <c r="L2" s="191"/>
      <c r="M2" s="191"/>
      <c r="N2" s="191"/>
      <c r="O2" s="198"/>
      <c r="Q2" s="198"/>
    </row>
    <row r="3" spans="1:23" s="186" customFormat="1" ht="12.75" customHeight="1">
      <c r="A3" s="192"/>
      <c r="M3" s="187"/>
      <c r="O3" s="187"/>
      <c r="Q3" s="187"/>
      <c r="S3" s="187"/>
      <c r="U3" s="187"/>
      <c r="W3" s="187"/>
    </row>
    <row r="5" spans="1:23">
      <c r="B5" s="200" t="s">
        <v>998</v>
      </c>
      <c r="C5" s="200" t="s">
        <v>999</v>
      </c>
      <c r="D5" s="201" t="s">
        <v>1075</v>
      </c>
    </row>
    <row r="6" spans="1:23" ht="23.4">
      <c r="B6" s="31">
        <v>1</v>
      </c>
      <c r="C6" s="31">
        <v>2</v>
      </c>
      <c r="D6" s="96" cm="1">
        <f t="array" ref="D6:D20">SQRTOfCUbes(B6:B20,C6:C20)</f>
        <v>3</v>
      </c>
      <c r="E6" s="25" t="str">
        <f ca="1">_xlfn.FORMULATEXT(D6)</f>
        <v>=SQRTOfCUbes(B6:B20;C6:C20)</v>
      </c>
    </row>
    <row r="7" spans="1:23" ht="23.4">
      <c r="B7" s="31">
        <v>2</v>
      </c>
      <c r="C7" s="31">
        <v>5</v>
      </c>
      <c r="D7" s="96">
        <v>12</v>
      </c>
      <c r="G7" s="8"/>
    </row>
    <row r="8" spans="1:23" ht="23.4">
      <c r="B8" s="31">
        <v>3</v>
      </c>
      <c r="C8" s="31">
        <v>8</v>
      </c>
      <c r="D8" s="96">
        <v>24</v>
      </c>
      <c r="G8" s="8"/>
    </row>
    <row r="9" spans="1:23" ht="23.4">
      <c r="B9" s="31">
        <v>4</v>
      </c>
      <c r="C9" s="31">
        <v>11</v>
      </c>
      <c r="D9" s="96">
        <v>38</v>
      </c>
      <c r="G9" s="8"/>
    </row>
    <row r="10" spans="1:23" ht="23.4">
      <c r="B10" s="31">
        <v>5</v>
      </c>
      <c r="C10" s="31">
        <v>14</v>
      </c>
      <c r="D10" s="96">
        <v>54</v>
      </c>
      <c r="N10" s="16"/>
    </row>
    <row r="11" spans="1:23" ht="23.4">
      <c r="B11" s="31">
        <v>6</v>
      </c>
      <c r="C11" s="31">
        <v>17</v>
      </c>
      <c r="D11" s="96">
        <v>72</v>
      </c>
      <c r="G11" s="8"/>
    </row>
    <row r="12" spans="1:23" ht="23.4">
      <c r="B12" s="31">
        <v>7</v>
      </c>
      <c r="C12" s="31">
        <v>20</v>
      </c>
      <c r="D12" s="96">
        <v>92</v>
      </c>
    </row>
    <row r="13" spans="1:23" ht="23.4">
      <c r="B13" s="31">
        <v>8</v>
      </c>
      <c r="C13" s="31">
        <v>23</v>
      </c>
      <c r="D13" s="96">
        <v>113</v>
      </c>
    </row>
    <row r="14" spans="1:23" ht="23.4">
      <c r="B14" s="31">
        <v>9</v>
      </c>
      <c r="C14" s="31">
        <v>26</v>
      </c>
      <c r="D14" s="96">
        <v>136</v>
      </c>
    </row>
    <row r="15" spans="1:23" ht="23.4">
      <c r="B15" s="31">
        <v>10</v>
      </c>
      <c r="C15" s="31">
        <v>29</v>
      </c>
      <c r="D15" s="96">
        <v>160</v>
      </c>
      <c r="F15" s="116" t="s">
        <v>1087</v>
      </c>
    </row>
    <row r="16" spans="1:23" ht="23.4">
      <c r="B16" s="31">
        <v>11</v>
      </c>
      <c r="C16" s="31">
        <v>32</v>
      </c>
      <c r="D16" s="96">
        <v>185</v>
      </c>
    </row>
    <row r="17" spans="2:8" ht="25.8">
      <c r="B17" s="31">
        <v>12</v>
      </c>
      <c r="C17" s="31">
        <v>35</v>
      </c>
      <c r="D17" s="96">
        <v>212</v>
      </c>
      <c r="F17" s="140" cm="1">
        <f t="array" ref="F17">_xlfn.LAMBDA(_xlpm.a,_xlpm.b,ROUNDUP(SQRT(_xlpm.a^3+_xlpm.b^3),0))(2,5)</f>
        <v>12</v>
      </c>
      <c r="G17" s="116" t="str">
        <f ca="1">_xlfn.FORMULATEXT(F17)</f>
        <v>=LAMBDA(a;b;ROUNDUP(SQRT(a^3+b^3);0))(2;5)</v>
      </c>
    </row>
    <row r="18" spans="2:8" ht="23.4">
      <c r="B18" s="31">
        <v>13</v>
      </c>
      <c r="C18" s="31">
        <v>38</v>
      </c>
      <c r="D18" s="96">
        <v>239</v>
      </c>
      <c r="G18" s="8"/>
    </row>
    <row r="19" spans="2:8" ht="23.4">
      <c r="B19" s="31">
        <v>14</v>
      </c>
      <c r="C19" s="31">
        <v>41</v>
      </c>
      <c r="D19" s="96">
        <v>268</v>
      </c>
    </row>
    <row r="20" spans="2:8" ht="23.4">
      <c r="B20" s="31">
        <v>15</v>
      </c>
      <c r="C20" s="31">
        <v>44</v>
      </c>
      <c r="D20" s="96">
        <v>298</v>
      </c>
    </row>
    <row r="22" spans="2:8" s="95" customFormat="1" ht="33.6">
      <c r="B22" s="95" t="s">
        <v>1076</v>
      </c>
    </row>
    <row r="24" spans="2:8">
      <c r="B24" s="201" t="s">
        <v>764</v>
      </c>
      <c r="C24" s="202" t="s">
        <v>1000</v>
      </c>
    </row>
    <row r="25" spans="2:8" ht="23.4">
      <c r="B25" s="31">
        <v>1</v>
      </c>
      <c r="C25" s="96" cm="1">
        <f t="array" ref="C25:C39">ROUND(CalcAreaCircle(B25:B39),2)</f>
        <v>3.14</v>
      </c>
      <c r="D25" s="25" t="str">
        <f ca="1">_xlfn.FORMULATEXT(C25)</f>
        <v>=ROUND(CalcAreaCircle(B25:B39);2)</v>
      </c>
    </row>
    <row r="26" spans="2:8" ht="23.4">
      <c r="B26" s="31">
        <v>2</v>
      </c>
      <c r="C26" s="96">
        <v>12.57</v>
      </c>
      <c r="F26" s="52"/>
    </row>
    <row r="27" spans="2:8" ht="23.4">
      <c r="B27" s="31">
        <v>3</v>
      </c>
      <c r="C27" s="96">
        <v>28.27</v>
      </c>
      <c r="F27" s="52"/>
      <c r="H27" s="32"/>
    </row>
    <row r="28" spans="2:8" ht="23.4">
      <c r="B28" s="31">
        <v>4</v>
      </c>
      <c r="C28" s="96">
        <v>50.27</v>
      </c>
      <c r="F28" s="52"/>
      <c r="H28" s="32"/>
    </row>
    <row r="29" spans="2:8" ht="23.4">
      <c r="B29" s="31">
        <v>5</v>
      </c>
      <c r="C29" s="96">
        <v>78.540000000000006</v>
      </c>
      <c r="F29" s="52"/>
      <c r="H29" s="13"/>
    </row>
    <row r="30" spans="2:8" ht="23.4">
      <c r="B30" s="31">
        <v>6</v>
      </c>
      <c r="C30" s="96">
        <v>113.1</v>
      </c>
      <c r="F30" s="52"/>
    </row>
    <row r="31" spans="2:8" ht="23.4">
      <c r="B31" s="31">
        <v>7</v>
      </c>
      <c r="C31" s="96">
        <v>153.94</v>
      </c>
      <c r="F31" s="52"/>
    </row>
    <row r="32" spans="2:8" ht="23.4">
      <c r="B32" s="31">
        <v>8</v>
      </c>
      <c r="C32" s="96">
        <v>201.06</v>
      </c>
      <c r="F32" s="52"/>
    </row>
    <row r="33" spans="2:14" ht="23.4">
      <c r="B33" s="31">
        <v>9</v>
      </c>
      <c r="C33" s="96">
        <v>254.47</v>
      </c>
      <c r="F33" s="52"/>
    </row>
    <row r="34" spans="2:14" ht="23.4">
      <c r="B34" s="31">
        <v>10</v>
      </c>
      <c r="C34" s="96">
        <v>314.16000000000003</v>
      </c>
    </row>
    <row r="35" spans="2:14" ht="23.4">
      <c r="B35" s="31">
        <v>11</v>
      </c>
      <c r="C35" s="96">
        <v>380.13</v>
      </c>
    </row>
    <row r="36" spans="2:14" ht="23.4">
      <c r="B36" s="31">
        <v>12</v>
      </c>
      <c r="C36" s="96">
        <v>452.39</v>
      </c>
      <c r="E36" s="116" t="s">
        <v>1077</v>
      </c>
    </row>
    <row r="37" spans="2:14" ht="23.4">
      <c r="B37" s="31">
        <v>13</v>
      </c>
      <c r="C37" s="96">
        <v>530.92999999999995</v>
      </c>
    </row>
    <row r="38" spans="2:14" ht="23.4">
      <c r="B38" s="31">
        <v>14</v>
      </c>
      <c r="C38" s="96">
        <v>615.75</v>
      </c>
    </row>
    <row r="39" spans="2:14" ht="23.4">
      <c r="B39" s="31">
        <v>15</v>
      </c>
      <c r="C39" s="96">
        <v>706.86</v>
      </c>
    </row>
    <row r="41" spans="2:14" s="95" customFormat="1" ht="33.6">
      <c r="B41" s="95" t="str" cm="1">
        <f t="array" ref="B41">Translatefct(210,0)</f>
        <v>BYROW</v>
      </c>
      <c r="G41" s="95" t="str" cm="1">
        <f t="array" ref="G41">Translatefct(260,0)</f>
        <v>SCAN</v>
      </c>
      <c r="N41" s="95" t="str" cm="1">
        <f t="array" ref="N41">Translatefct(250,0)</f>
        <v>REDUCE</v>
      </c>
    </row>
    <row r="42" spans="2:14" s="141" customFormat="1" ht="21">
      <c r="B42" s="170" t="str" cm="1">
        <f t="array" ref="B42">Translatefct(210,1)</f>
        <v>Applies a LAMBDA function to each row in an array.</v>
      </c>
      <c r="G42" s="173" t="str" cm="1">
        <f t="array" ref="G42">Translatefct(260,1)</f>
        <v>Returns intermediate results of an accumulation operation for an array.</v>
      </c>
      <c r="N42" s="170" t="str" cm="1">
        <f t="array" ref="N42">Translatefct(250,1)</f>
        <v>Reduces an array to an accumulated value by applying a LAMBDA function.</v>
      </c>
    </row>
    <row r="44" spans="2:14" ht="18">
      <c r="B44" s="89" t="s">
        <v>1001</v>
      </c>
      <c r="C44" s="89" t="s">
        <v>1002</v>
      </c>
      <c r="D44" s="89" t="s">
        <v>645</v>
      </c>
      <c r="E44" s="89" t="s">
        <v>1003</v>
      </c>
      <c r="G44" s="226" t="s">
        <v>1004</v>
      </c>
      <c r="N44" s="89" t="s">
        <v>1005</v>
      </c>
    </row>
    <row r="45" spans="2:14" ht="23.4">
      <c r="B45" s="53" t="s">
        <v>781</v>
      </c>
      <c r="C45" s="53">
        <v>122</v>
      </c>
      <c r="D45" s="53">
        <v>23</v>
      </c>
      <c r="E45" s="96" cm="1">
        <f t="array" ref="E45:E56">_xlfn.BYROW(C45:D56,_xleta.PRODUCT)</f>
        <v>2806</v>
      </c>
      <c r="G45" s="96" cm="1">
        <f t="array" ref="G45:G56">_xlfn.SCAN(0,$E$45:$E$56,_xlfn.LAMBDA(_xlpm.i,_xlpm.a,_xlpm.i+_xlpm.a))</f>
        <v>2806</v>
      </c>
      <c r="N45" s="96" cm="1">
        <f t="array" ref="N45">_xlfn.REDUCE(0,$E$45:$E$56,_xlfn.LAMBDA(_xlpm.i,_xlpm.a,_xlpm.i+_xlpm.a))</f>
        <v>61443</v>
      </c>
    </row>
    <row r="46" spans="2:14" ht="23.4">
      <c r="B46" s="53" t="s">
        <v>782</v>
      </c>
      <c r="C46" s="53">
        <v>115</v>
      </c>
      <c r="D46" s="53">
        <v>15</v>
      </c>
      <c r="E46" s="96">
        <v>1725</v>
      </c>
      <c r="G46" s="96">
        <v>4531</v>
      </c>
    </row>
    <row r="47" spans="2:14" ht="23.4">
      <c r="B47" s="53" t="s">
        <v>783</v>
      </c>
      <c r="C47" s="53">
        <v>115</v>
      </c>
      <c r="D47" s="53">
        <v>44</v>
      </c>
      <c r="E47" s="96">
        <v>5060</v>
      </c>
      <c r="G47" s="96">
        <v>9591</v>
      </c>
      <c r="N47" s="116" t="str">
        <f ca="1">_xlfn.FORMULATEXT(N45)</f>
        <v>=REDUCE(0;$E$45:$E$56;LAMBDA(i;a;i+a))</v>
      </c>
    </row>
    <row r="48" spans="2:14" ht="23.4">
      <c r="B48" s="53" t="s">
        <v>785</v>
      </c>
      <c r="C48" s="53">
        <v>185</v>
      </c>
      <c r="D48" s="53">
        <v>35</v>
      </c>
      <c r="E48" s="96">
        <v>6475</v>
      </c>
      <c r="G48" s="96">
        <v>16066</v>
      </c>
    </row>
    <row r="49" spans="2:7" ht="23.4">
      <c r="B49" s="53" t="s">
        <v>785</v>
      </c>
      <c r="C49" s="53">
        <v>185</v>
      </c>
      <c r="D49" s="53">
        <v>26</v>
      </c>
      <c r="E49" s="96">
        <v>4810</v>
      </c>
      <c r="G49" s="96">
        <v>20876</v>
      </c>
    </row>
    <row r="50" spans="2:7" ht="23.4">
      <c r="B50" s="53" t="s">
        <v>785</v>
      </c>
      <c r="C50" s="53">
        <v>185</v>
      </c>
      <c r="D50" s="53">
        <v>17</v>
      </c>
      <c r="E50" s="96">
        <v>3145</v>
      </c>
      <c r="G50" s="96">
        <v>24021</v>
      </c>
    </row>
    <row r="51" spans="2:7" ht="23.4">
      <c r="B51" s="53" t="s">
        <v>786</v>
      </c>
      <c r="C51" s="53">
        <v>205</v>
      </c>
      <c r="D51" s="53">
        <v>18</v>
      </c>
      <c r="E51" s="96">
        <v>3690</v>
      </c>
      <c r="G51" s="96">
        <v>27711</v>
      </c>
    </row>
    <row r="52" spans="2:7" ht="23.4">
      <c r="B52" s="53" t="s">
        <v>787</v>
      </c>
      <c r="C52" s="53">
        <v>115</v>
      </c>
      <c r="D52" s="53">
        <v>101</v>
      </c>
      <c r="E52" s="96">
        <v>11615</v>
      </c>
      <c r="G52" s="96">
        <v>39326</v>
      </c>
    </row>
    <row r="53" spans="2:7" ht="23.4">
      <c r="B53" s="53" t="s">
        <v>784</v>
      </c>
      <c r="C53" s="53">
        <v>49</v>
      </c>
      <c r="D53" s="53">
        <v>154</v>
      </c>
      <c r="E53" s="96">
        <v>7546</v>
      </c>
      <c r="G53" s="96">
        <v>46872</v>
      </c>
    </row>
    <row r="54" spans="2:7" ht="23.4">
      <c r="B54" s="53" t="s">
        <v>788</v>
      </c>
      <c r="C54" s="53">
        <v>115</v>
      </c>
      <c r="D54" s="53">
        <v>66</v>
      </c>
      <c r="E54" s="96">
        <v>7590</v>
      </c>
      <c r="G54" s="96">
        <v>54462</v>
      </c>
    </row>
    <row r="55" spans="2:7" ht="23.4">
      <c r="B55" s="53" t="s">
        <v>783</v>
      </c>
      <c r="C55" s="53">
        <v>115</v>
      </c>
      <c r="D55" s="53">
        <v>52</v>
      </c>
      <c r="E55" s="96">
        <v>5980</v>
      </c>
      <c r="G55" s="96">
        <v>60442</v>
      </c>
    </row>
    <row r="56" spans="2:7" ht="23.4">
      <c r="B56" s="53" t="s">
        <v>789</v>
      </c>
      <c r="C56" s="53">
        <v>77</v>
      </c>
      <c r="D56" s="53">
        <v>13</v>
      </c>
      <c r="E56" s="96">
        <v>1001</v>
      </c>
      <c r="G56" s="96">
        <v>61443</v>
      </c>
    </row>
    <row r="58" spans="2:7" ht="18">
      <c r="E58" s="116" t="str">
        <f ca="1">_xlfn.FORMULATEXT(E45)</f>
        <v>=BYROW(C45:D56;PRODUCT)</v>
      </c>
      <c r="G58" s="116" t="str">
        <f ca="1">_xlfn.FORMULATEXT(G45)</f>
        <v>=SCAN(0;$E$45:$E$56;LAMBDA(i;a;i+a))</v>
      </c>
    </row>
    <row r="61" spans="2:7" ht="15.6">
      <c r="B61" s="224">
        <v>46023</v>
      </c>
      <c r="C61" s="224">
        <v>46054</v>
      </c>
      <c r="D61" s="224">
        <v>46082</v>
      </c>
      <c r="E61" s="224">
        <v>46113</v>
      </c>
      <c r="F61" s="224">
        <v>46143</v>
      </c>
      <c r="G61" s="225" t="s">
        <v>1065</v>
      </c>
    </row>
    <row r="62" spans="2:7">
      <c r="B62" s="118">
        <v>10</v>
      </c>
      <c r="C62" s="118">
        <v>15</v>
      </c>
      <c r="D62" s="118">
        <v>12</v>
      </c>
      <c r="E62" s="118">
        <v>18</v>
      </c>
      <c r="F62" s="118">
        <v>11</v>
      </c>
      <c r="G62" cm="1">
        <f t="array" ref="G62:G65">_xlfn.BYROW($B$62:$F$65,_xlfn.LAMBDA(_xlpm.r,MAX(_xlpm.r)-MIN(_xlpm.r)))</f>
        <v>8</v>
      </c>
    </row>
    <row r="63" spans="2:7">
      <c r="B63" s="118">
        <v>22</v>
      </c>
      <c r="C63" s="118">
        <v>20</v>
      </c>
      <c r="D63" s="118">
        <v>24</v>
      </c>
      <c r="E63" s="118">
        <v>21</v>
      </c>
      <c r="F63" s="118">
        <v>23</v>
      </c>
      <c r="G63">
        <v>4</v>
      </c>
    </row>
    <row r="64" spans="2:7">
      <c r="B64" s="118">
        <v>5</v>
      </c>
      <c r="C64" s="118">
        <v>8</v>
      </c>
      <c r="D64" s="118">
        <v>4</v>
      </c>
      <c r="E64" s="118">
        <v>9</v>
      </c>
      <c r="F64" s="118">
        <v>6</v>
      </c>
      <c r="G64">
        <v>5</v>
      </c>
    </row>
    <row r="65" spans="2:7">
      <c r="B65" s="118">
        <v>14</v>
      </c>
      <c r="C65" s="118">
        <v>16</v>
      </c>
      <c r="D65" s="118">
        <v>13</v>
      </c>
      <c r="E65" s="118">
        <v>18</v>
      </c>
      <c r="F65" s="118">
        <v>15</v>
      </c>
      <c r="G65">
        <v>5</v>
      </c>
    </row>
    <row r="67" spans="2:7" ht="18">
      <c r="G67" s="116" t="str">
        <f ca="1">_xlfn.FORMULATEXT(G62)</f>
        <v>=BYROW($B$62:$F$65;LAMBDA(r;MAX(r)-MIN(r)))</v>
      </c>
    </row>
  </sheetData>
  <mergeCells count="1">
    <mergeCell ref="A1:C2"/>
  </mergeCells>
  <phoneticPr fontId="2"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3" ma:contentTypeDescription="Crée un document." ma:contentTypeScope="" ma:versionID="ee61e397712e1b6dc7739e32d7ccec9d">
  <xsd:schema xmlns:xsd="http://www.w3.org/2001/XMLSchema" xmlns:xs="http://www.w3.org/2001/XMLSchema" xmlns:p="http://schemas.microsoft.com/office/2006/metadata/properties" xmlns:ns2="037ed5ce-9e80-41f7-81a5-4f297c26d5d9" targetNamespace="http://schemas.microsoft.com/office/2006/metadata/properties" ma:root="true" ma:fieldsID="98486b18ee558285ff8da1122274ee2d"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F74B3EA4-5B12-4244-9B1D-CFF1D97E94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7ed5ce-9e80-41f7-81a5-4f297c26d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0B6C72C-9B9E-4AE8-8FFF-B7249A3E84A6}">
  <ds:schemaRefs>
    <ds:schemaRef ds:uri="http://schemas.microsoft.com/sharepoint/v3/contenttype/forms"/>
  </ds:schemaRefs>
</ds:datastoreItem>
</file>

<file path=customXml/itemProps3.xml><?xml version="1.0" encoding="utf-8"?>
<ds:datastoreItem xmlns:ds="http://schemas.openxmlformats.org/officeDocument/2006/customXml" ds:itemID="{C2B0CF53-B658-40FE-B386-186BC42FEFA7}">
  <ds:schemaRefs>
    <ds:schemaRef ds:uri="http://schemas.microsoft.com/office/2006/documentManagement/types"/>
    <ds:schemaRef ds:uri="http://www.w3.org/XML/1998/namespace"/>
    <ds:schemaRef ds:uri="http://schemas.openxmlformats.org/package/2006/metadata/core-properties"/>
    <ds:schemaRef ds:uri="037ed5ce-9e80-41f7-81a5-4f297c26d5d9"/>
    <ds:schemaRef ds:uri="http://schemas.microsoft.com/office/infopath/2007/PartnerControls"/>
    <ds:schemaRef ds:uri="http://purl.org/dc/elements/1.1/"/>
    <ds:schemaRef ds:uri="http://purl.org/dc/terms/"/>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811BF6A5-8199-4B90-9A5F-53CADD294C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27</vt:i4>
      </vt:variant>
    </vt:vector>
  </HeadingPairs>
  <TitlesOfParts>
    <vt:vector size="41" baseType="lpstr">
      <vt:lpstr>TRADFUNCTIONS</vt:lpstr>
      <vt:lpstr>TRAD</vt:lpstr>
      <vt:lpstr>A2. ARRAY</vt:lpstr>
      <vt:lpstr>MENU</vt:lpstr>
      <vt:lpstr>10. LOGIC</vt:lpstr>
      <vt:lpstr>50. FILTER</vt:lpstr>
      <vt:lpstr>50. SORT</vt:lpstr>
      <vt:lpstr>60. INDEX</vt:lpstr>
      <vt:lpstr>60. VLOOKUP</vt:lpstr>
      <vt:lpstr>60. HLOOKUP</vt:lpstr>
      <vt:lpstr>60. XLOOKUP</vt:lpstr>
      <vt:lpstr>70. FREQUENCY - RANK</vt:lpstr>
      <vt:lpstr>100. LET</vt:lpstr>
      <vt:lpstr>110. LAMBDA</vt:lpstr>
      <vt:lpstr>arrayfct</vt:lpstr>
      <vt:lpstr>Born_in</vt:lpstr>
      <vt:lpstr>City</vt:lpstr>
      <vt:lpstr>DELTA</vt:lpstr>
      <vt:lpstr>filterfct</vt:lpstr>
      <vt:lpstr>freqfct</vt:lpstr>
      <vt:lpstr>Gender</vt:lpstr>
      <vt:lpstr>hlookupfct</vt:lpstr>
      <vt:lpstr>HX_BonusFromID</vt:lpstr>
      <vt:lpstr>HX_EmployeeID</vt:lpstr>
      <vt:lpstr>HX_SalaryRange</vt:lpstr>
      <vt:lpstr>indexfct</vt:lpstr>
      <vt:lpstr>lambdafct</vt:lpstr>
      <vt:lpstr>letfct</vt:lpstr>
      <vt:lpstr>Liste_Liens_Menu</vt:lpstr>
      <vt:lpstr>logicfct</vt:lpstr>
      <vt:lpstr>lst_moiscourt</vt:lpstr>
      <vt:lpstr>lst_moislong</vt:lpstr>
      <vt:lpstr>lst_monthlong</vt:lpstr>
      <vt:lpstr>lst_monthShort</vt:lpstr>
      <vt:lpstr>Salary</vt:lpstr>
      <vt:lpstr>salfilt</vt:lpstr>
      <vt:lpstr>sortfct</vt:lpstr>
      <vt:lpstr>tauxTVA</vt:lpstr>
      <vt:lpstr>TradSheetLocator</vt:lpstr>
      <vt:lpstr>vlookupfct</vt:lpstr>
      <vt:lpstr>xlookupfct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Moreau</dc:creator>
  <cp:keywords/>
  <dc:description/>
  <cp:lastModifiedBy>Ludovic Moreau, manager</cp:lastModifiedBy>
  <cp:revision/>
  <dcterms:created xsi:type="dcterms:W3CDTF">2023-08-23T23:50:11Z</dcterms:created>
  <dcterms:modified xsi:type="dcterms:W3CDTF">2026-06-28T20:46:43Z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MediaServiceImageTags">
    <vt:lpwstr/>
  </property>
  <property fmtid="{D5CDD505-2E9C-101B-9397-08002B2CF9AE}" pid="4" name="Order">
    <vt:r8>428800</vt:r8>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SharedWithUsers">
    <vt:lpwstr/>
  </property>
</Properties>
</file>