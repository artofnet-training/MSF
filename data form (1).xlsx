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REFRESH BASE/"/>
    </mc:Choice>
  </mc:AlternateContent>
  <xr:revisionPtr revIDLastSave="171" documentId="13_ncr:1_{5B0C596F-9D8F-4B31-A621-445358F8ADAF}" xr6:coauthVersionLast="47" xr6:coauthVersionMax="47" xr10:uidLastSave="{72DC3ECE-81D4-4469-823F-7F928FD03244}"/>
  <bookViews>
    <workbookView xWindow="-108" yWindow="-108" windowWidth="23256" windowHeight="13176" activeTab="4" xr2:uid="{9EEE9F4D-35D4-4AF3-9090-09942B702571}"/>
  </bookViews>
  <sheets>
    <sheet name="SAMPLE DATA" sheetId="1" r:id="rId1"/>
    <sheet name="Feuil1" sheetId="2" r:id="rId2"/>
    <sheet name="SORT &amp; FILTER" sheetId="5" r:id="rId3"/>
    <sheet name="SEARCH" sheetId="4" r:id="rId4"/>
    <sheet name="FORMULAS INTRO" sheetId="3" r:id="rId5"/>
  </sheets>
  <definedNames>
    <definedName name="_xlnm._FilterDatabase" localSheetId="0" hidden="1">'SAMPLE DATA'!$A$1:$J$80</definedName>
    <definedName name="_xlnm.Criteria" localSheetId="0">'SAMPLE DATA'!$M$1:$N$2</definedName>
    <definedName name="_xlnm.Extract" localSheetId="0">'SAMPLE DATA'!$Q$1:$T$1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 a="1"/>
  <c r="G141" i="4" a="1"/>
  <c r="G140" i="4" a="1"/>
  <c r="G139" i="4" a="1"/>
  <c r="G138" i="4" a="1"/>
  <c r="G137" i="4" a="1"/>
  <c r="G136" i="4" a="1"/>
  <c r="G135" i="4" a="1"/>
  <c r="G134" i="4" a="1"/>
  <c r="G133" i="4" a="1"/>
  <c r="G132" i="4" a="1"/>
  <c r="G131" i="4" a="1"/>
  <c r="G130" i="4" a="1"/>
  <c r="G129" i="4" a="1"/>
  <c r="G128" i="4" a="1"/>
  <c r="G127" i="4" a="1"/>
  <c r="G126" i="4" a="1"/>
  <c r="G125" i="4" a="1"/>
  <c r="G124" i="4" a="1"/>
  <c r="G123" i="4" a="1"/>
  <c r="G122" i="4" a="1"/>
  <c r="G121" i="4" a="1"/>
  <c r="G120" i="4" a="1"/>
  <c r="G119" i="4" a="1"/>
  <c r="G118" i="4" a="1"/>
  <c r="G117" i="4" a="1"/>
  <c r="G116" i="4" a="1"/>
  <c r="G115" i="4" a="1"/>
  <c r="G114" i="4" a="1"/>
  <c r="G113" i="4" a="1"/>
  <c r="G112" i="4" a="1"/>
  <c r="G111" i="4" a="1"/>
  <c r="G110" i="4" a="1"/>
  <c r="G109" i="4" a="1"/>
  <c r="G108" i="4" a="1"/>
  <c r="G107" i="4" a="1"/>
  <c r="G106" i="4" a="1"/>
  <c r="G105" i="4" a="1"/>
  <c r="G104" i="4" a="1"/>
  <c r="G103" i="4" a="1"/>
  <c r="G102" i="4" a="1"/>
  <c r="G101" i="4" a="1"/>
  <c r="G100" i="4" a="1"/>
  <c r="G99" i="4" a="1"/>
  <c r="G98" i="4" a="1"/>
  <c r="G97" i="4" a="1"/>
  <c r="G96" i="4" a="1"/>
  <c r="G95" i="4" a="1"/>
  <c r="G94" i="4" a="1"/>
  <c r="G93" i="4" a="1"/>
  <c r="G92" i="4" a="1"/>
  <c r="G91" i="4" a="1"/>
  <c r="G90" i="4" a="1"/>
  <c r="G89" i="4" a="1"/>
  <c r="G88" i="4" a="1"/>
  <c r="G87" i="4" a="1"/>
  <c r="G86" i="4" a="1"/>
  <c r="G85" i="4" a="1"/>
  <c r="G84" i="4" a="1"/>
  <c r="G83" i="4" a="1"/>
  <c r="G82" i="4" a="1"/>
  <c r="G81" i="4" a="1"/>
  <c r="G80" i="4" a="1"/>
  <c r="G79" i="4" a="1"/>
  <c r="G78" i="4" a="1"/>
  <c r="G77" i="4" a="1"/>
  <c r="G76" i="4" a="1"/>
  <c r="G75" i="4" a="1"/>
  <c r="G74" i="4" a="1"/>
  <c r="G73" i="4" a="1"/>
  <c r="G72" i="4" a="1"/>
  <c r="G71" i="4" a="1"/>
  <c r="G70" i="4" a="1"/>
  <c r="G69" i="4" a="1"/>
  <c r="G68" i="4" a="1"/>
  <c r="G67" i="4" a="1"/>
  <c r="G66" i="4" a="1"/>
  <c r="G65" i="4" a="1"/>
  <c r="G64" i="4" a="1"/>
  <c r="G63" i="4" a="1"/>
  <c r="G62" i="4" a="1"/>
  <c r="G61" i="4" a="1"/>
  <c r="G60" i="4" a="1"/>
  <c r="G59" i="4" a="1"/>
  <c r="G58" i="4" a="1"/>
  <c r="G57" i="4" a="1"/>
  <c r="G56" i="4" a="1"/>
  <c r="G55" i="4" a="1"/>
  <c r="G54" i="4" a="1"/>
  <c r="G53" i="4" a="1"/>
  <c r="G52" i="4" a="1"/>
  <c r="G51" i="4" a="1"/>
  <c r="G50" i="4" a="1"/>
  <c r="G49" i="4" a="1"/>
  <c r="G48" i="4" a="1"/>
  <c r="G47" i="4" a="1"/>
  <c r="G46" i="4" a="1"/>
  <c r="G45" i="4" a="1"/>
  <c r="G44" i="4" a="1"/>
  <c r="G43" i="4" a="1"/>
  <c r="G42" i="4" a="1"/>
  <c r="G41" i="4" a="1"/>
  <c r="G40" i="4" a="1"/>
  <c r="G39" i="4" a="1"/>
  <c r="G38" i="4" a="1"/>
  <c r="G37" i="4" a="1"/>
  <c r="G36" i="4" a="1"/>
  <c r="G35" i="4" a="1"/>
  <c r="G34" i="4" a="1"/>
  <c r="G33" i="4" a="1"/>
  <c r="G32" i="4" a="1"/>
  <c r="G31" i="4" a="1"/>
  <c r="G30" i="4" a="1"/>
  <c r="G29" i="4" a="1"/>
  <c r="G28" i="4" a="1"/>
  <c r="G27" i="4" a="1"/>
  <c r="G26" i="4" a="1"/>
  <c r="G25" i="4" a="1"/>
  <c r="G24" i="4" a="1"/>
  <c r="G23" i="4" a="1"/>
  <c r="G22" i="4" a="1"/>
  <c r="G21" i="4" a="1"/>
  <c r="G20" i="4" a="1"/>
  <c r="G19" i="4" a="1"/>
  <c r="G18" i="4" a="1"/>
  <c r="G17" i="4" a="1"/>
  <c r="G16" i="4" a="1"/>
  <c r="G15" i="4" a="1"/>
  <c r="G14" i="4" a="1"/>
  <c r="G13" i="4" a="1"/>
  <c r="G12" i="4" a="1"/>
  <c r="G11" i="4" a="1"/>
  <c r="G10" i="4" a="1"/>
  <c r="G9" i="4" a="1"/>
  <c r="G8" i="4" a="1"/>
  <c r="G7" i="4" a="1"/>
  <c r="G6" i="4" a="1"/>
  <c r="G5" i="4" a="1"/>
  <c r="G4" i="4" a="1"/>
  <c r="G3" i="4" a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17" i="2"/>
  <c r="D4" i="2"/>
  <c r="D5" i="2"/>
  <c r="D6" i="2"/>
  <c r="D7" i="2"/>
  <c r="D8" i="2"/>
  <c r="D9" i="2"/>
  <c r="D10" i="2"/>
  <c r="D11" i="2"/>
  <c r="D12" i="2"/>
  <c r="D13" i="2"/>
  <c r="D14" i="2"/>
  <c r="D15" i="2"/>
  <c r="D3" i="2"/>
  <c r="C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<sst xmlns="http://schemas.openxmlformats.org/spreadsheetml/2006/main" count="721" uniqueCount="217">
  <si>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</si>
  <si>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</si>
  <si>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</si>
  <si>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</si>
  <si>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</si>
  <si>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</si>
  <si>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</si>
  <si>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</si>
  <si>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</si>
  <si>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</si>
  <si>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Robinson</t>
  </si>
  <si>
    <t>Downtown</t>
  </si>
  <si>
    <t>Ranch</t>
  </si>
  <si>
    <t>Kelly</t>
  </si>
  <si>
    <t>South</t>
  </si>
  <si>
    <t>Split Level</t>
  </si>
  <si>
    <t>Hamilton</t>
  </si>
  <si>
    <t>Lang</t>
  </si>
  <si>
    <t>Condo</t>
  </si>
  <si>
    <t>Randolph</t>
  </si>
  <si>
    <t>2 Story</t>
  </si>
  <si>
    <t>Jenkins</t>
  </si>
  <si>
    <t>Romero</t>
  </si>
  <si>
    <t>Daily</t>
  </si>
  <si>
    <t>Barnes</t>
  </si>
  <si>
    <t>Adams</t>
  </si>
  <si>
    <t>Bennet</t>
  </si>
  <si>
    <t>Central</t>
  </si>
  <si>
    <t>North</t>
  </si>
  <si>
    <t>Shasta</t>
  </si>
  <si>
    <t>Peterson</t>
  </si>
  <si>
    <t>Chung</t>
  </si>
  <si>
    <t xml:space="preserve"> </t>
  </si>
  <si>
    <t>DATE</t>
  </si>
  <si>
    <t>%</t>
  </si>
  <si>
    <t>SKI</t>
  </si>
  <si>
    <t>TOTAL</t>
  </si>
  <si>
    <t>jan</t>
  </si>
  <si>
    <t>feb</t>
  </si>
  <si>
    <t>mar</t>
  </si>
  <si>
    <t xml:space="preserve">total </t>
  </si>
  <si>
    <t>medal_code</t>
  </si>
  <si>
    <t>medal_date</t>
  </si>
  <si>
    <t>name</t>
  </si>
  <si>
    <t>NOCID</t>
  </si>
  <si>
    <t>DisciplineID</t>
  </si>
  <si>
    <t>AthleteID</t>
  </si>
  <si>
    <t>Daniel WIFFEN</t>
  </si>
  <si>
    <t>David POPOVICI</t>
  </si>
  <si>
    <t>Arian SALIMI</t>
  </si>
  <si>
    <t>Julien ALFRED</t>
  </si>
  <si>
    <t>Lasha BEKAURI</t>
  </si>
  <si>
    <t>Cassandre BEAUGRAND</t>
  </si>
  <si>
    <t>Akhmed TAZHUDINOV</t>
  </si>
  <si>
    <t>Imane KHELIF</t>
  </si>
  <si>
    <t>Kaylia NEMOUR</t>
  </si>
  <si>
    <t>Alice D'AMATO</t>
  </si>
  <si>
    <t>Toby ROBERTS</t>
  </si>
  <si>
    <t>Mohammadhadi SARAVI</t>
  </si>
  <si>
    <t>Saeid ESMAEILI LEIVESI</t>
  </si>
  <si>
    <t>Lasha TALAKHADZE</t>
  </si>
  <si>
    <t>Geno PETRIASHVILI</t>
  </si>
  <si>
    <t>Kellie HARRINGTON</t>
  </si>
  <si>
    <t>Soufiane EL BAKKALI</t>
  </si>
  <si>
    <t>Erislandy ALVAREZ BORGES</t>
  </si>
  <si>
    <t>Hasanboy DUSMATOV</t>
  </si>
  <si>
    <t>Abdumalik KHALOKOV</t>
  </si>
  <si>
    <t>Asadkhuja MUYDINKHUJAEV</t>
  </si>
  <si>
    <t>Lazizbek MULLOJONOV</t>
  </si>
  <si>
    <t>Bakhodir JALOLOV</t>
  </si>
  <si>
    <t>Magomed Eldarovitch RAMAZANOV</t>
  </si>
  <si>
    <t>Semen Sergeevich NOVIKOV</t>
  </si>
  <si>
    <t>Razambek Salambekovitch JAMALOV</t>
  </si>
  <si>
    <t>Aleksandra MIROSLAW</t>
  </si>
  <si>
    <t>Oleksandr KHYZHNIAK</t>
  </si>
  <si>
    <t>Valentin BONTUS</t>
  </si>
  <si>
    <t>Diyora KELDIYOROVA</t>
  </si>
  <si>
    <t>Kauli VAAST</t>
  </si>
  <si>
    <t>Armand DUPLANTIS</t>
  </si>
  <si>
    <t>Mijain LOPEZ NUNEZ</t>
  </si>
  <si>
    <t>Yaroslava MAHUCHIKH</t>
  </si>
  <si>
    <t>Viviana MARTON</t>
  </si>
  <si>
    <t>Sarah SJOESTROEM</t>
  </si>
  <si>
    <t>Markus ROOTH</t>
  </si>
  <si>
    <t>Arshad NADEEM</t>
  </si>
  <si>
    <t>Solfrid Eila Amena KOANDA</t>
  </si>
  <si>
    <t>Josef DOSTAL</t>
  </si>
  <si>
    <t>Martin FUKSA</t>
  </si>
  <si>
    <t>Nicolas GESTIN</t>
  </si>
  <si>
    <t>Ulugbek RASHITOV</t>
  </si>
  <si>
    <t>LIN Yu Ting</t>
  </si>
  <si>
    <t>Viktor AXELSEN</t>
  </si>
  <si>
    <t>Teddy RINER</t>
  </si>
  <si>
    <t>AN Se Young</t>
  </si>
  <si>
    <t>Althea LAURIN</t>
  </si>
  <si>
    <t>BAN Hyojin</t>
  </si>
  <si>
    <t>OH Ye Jin</t>
  </si>
  <si>
    <t>YANG Jiin</t>
  </si>
  <si>
    <t>Joris DAUDET</t>
  </si>
  <si>
    <t>Pauline FERRAND PREVOT</t>
  </si>
  <si>
    <t>Benjamin THOMAS</t>
  </si>
  <si>
    <t>VARFOLOMEEV Darja</t>
  </si>
  <si>
    <t>KANO Koki</t>
  </si>
  <si>
    <t>TSUNODA Natsumi</t>
  </si>
  <si>
    <t>ABE Hifumi</t>
  </si>
  <si>
    <t>NAGASE Takanori</t>
  </si>
  <si>
    <t>Jakob INGEBRIGTSEN</t>
  </si>
  <si>
    <t>Barbara MATIC</t>
  </si>
  <si>
    <t>Marta MAGGETTI</t>
  </si>
  <si>
    <t>Marileidy PAULINO</t>
  </si>
  <si>
    <t>Eleanor ALDRIDGE</t>
  </si>
  <si>
    <t>Tamirat TOLA</t>
  </si>
  <si>
    <t>CHEN Yiwen</t>
  </si>
  <si>
    <t>QUAN Hongchan</t>
  </si>
  <si>
    <t>XIE Siyi</t>
  </si>
  <si>
    <t>CAO Yuan</t>
  </si>
  <si>
    <t>YOSHIZAWA Coco</t>
  </si>
  <si>
    <t>HORIGOME Yuto</t>
  </si>
  <si>
    <t>KIM Woojin</t>
  </si>
  <si>
    <t>LIM Sihyeon</t>
  </si>
  <si>
    <t>FAN Zhendong</t>
  </si>
  <si>
    <t>CHEN Meng</t>
  </si>
  <si>
    <t>Panipak WONGPATTANAKIT</t>
  </si>
  <si>
    <t>Karlos May NASAR</t>
  </si>
  <si>
    <t>THIAM Nafissatou</t>
  </si>
  <si>
    <t>Remco EVENEPOEL</t>
  </si>
  <si>
    <t>KIM Yujin</t>
  </si>
  <si>
    <t>PARK Taejoon</t>
  </si>
  <si>
    <t>Jordan Alejandro DIAZ FORTUN</t>
  </si>
  <si>
    <t>Alex YEE</t>
  </si>
  <si>
    <t>Nathan HALES</t>
  </si>
  <si>
    <t>Bryony PAGE</t>
  </si>
  <si>
    <t>Hubert KOS</t>
  </si>
  <si>
    <t>Kristof MILAK</t>
  </si>
  <si>
    <t>Oliver ZEIDLER</t>
  </si>
  <si>
    <t>Lukas MAERTENS</t>
  </si>
  <si>
    <t>Thea LAFOND</t>
  </si>
  <si>
    <t>Kristof RASOVSZKY</t>
  </si>
  <si>
    <t>Leon MARCHAND</t>
  </si>
  <si>
    <t>Emmanuel WANYONYI</t>
  </si>
  <si>
    <t>Faith KIPYEGON</t>
  </si>
  <si>
    <t>Beatrice CHEBET</t>
  </si>
  <si>
    <t>Roje STONA</t>
  </si>
  <si>
    <t>Thomas PIDCOCK</t>
  </si>
  <si>
    <t>SHENG Lihao</t>
  </si>
  <si>
    <t>XIE Yu</t>
  </si>
  <si>
    <t>LI Yuehong</t>
  </si>
  <si>
    <t>LIU Yukun</t>
  </si>
  <si>
    <t>Christian KUKUK</t>
  </si>
  <si>
    <t>Michael JUNG</t>
  </si>
  <si>
    <t>Manon APITHY-BRUNET</t>
  </si>
  <si>
    <t>Jose TORRES GIL</t>
  </si>
  <si>
    <t>LIU Huanhua</t>
  </si>
  <si>
    <t>LI Fabin</t>
  </si>
  <si>
    <t>LI Wenwen</t>
  </si>
  <si>
    <t>HOU Zhihui</t>
  </si>
  <si>
    <t>LUO Shifang</t>
  </si>
  <si>
    <t>LIU Yang</t>
  </si>
  <si>
    <t>ZOU Jingyuan</t>
  </si>
  <si>
    <t>YANG Jiayu</t>
  </si>
  <si>
    <t>OKA Shinnosuke</t>
  </si>
  <si>
    <t>KITAGUCHI Haruka</t>
  </si>
  <si>
    <t>Yemisi OGUNLEYE</t>
  </si>
  <si>
    <t>DENG Yawen</t>
  </si>
  <si>
    <t>Keely HODGKINSON</t>
  </si>
  <si>
    <t>Alice BELLANDI</t>
  </si>
  <si>
    <t>Nicolo MARTINENGHI</t>
  </si>
  <si>
    <t>Thomas CECCON</t>
  </si>
  <si>
    <t>Winfred YAVI</t>
  </si>
  <si>
    <t>Hamish KERR</t>
  </si>
  <si>
    <t>LI Qian</t>
  </si>
  <si>
    <t>CHANG Yuan</t>
  </si>
  <si>
    <t>WU Yu</t>
  </si>
  <si>
    <t>OH Sanguk</t>
  </si>
  <si>
    <t>Tom REUVENY</t>
  </si>
  <si>
    <t>ZHENG Qinwen</t>
  </si>
  <si>
    <t>Brian Daniel PINTADO</t>
  </si>
  <si>
    <t>Ahmed ELGENDY</t>
  </si>
  <si>
    <t>Yeldos SMETOV</t>
  </si>
  <si>
    <t>Michelle GULYAS</t>
  </si>
  <si>
    <t>mardi, 30 juillet 2024</t>
  </si>
  <si>
    <t>lundi, 29 juillet 2024</t>
  </si>
  <si>
    <t>samedi, 10 août 2024</t>
  </si>
  <si>
    <t>samedi, 3 août 2024</t>
  </si>
  <si>
    <t>mercredi, 31 juillet 2024</t>
  </si>
  <si>
    <t>dimanche, 11 août 2024</t>
  </si>
  <si>
    <t>vendredi, 9 août 2024</t>
  </si>
  <si>
    <t>dimanche, 4 août 2024</t>
  </si>
  <si>
    <t>lundi, 5 août 2024</t>
  </si>
  <si>
    <t>mercredi, 7 août 2024</t>
  </si>
  <si>
    <t>jeudi, 8 août 2024</t>
  </si>
  <si>
    <t>mardi, 6 août 2024</t>
  </si>
  <si>
    <t>dimanche, 28 juillet 2024</t>
  </si>
  <si>
    <t>vendredi, 2 août 2024</t>
  </si>
  <si>
    <t>samedi, 27 juillet 2024</t>
  </si>
  <si>
    <t>jeudi, 1 août 2024</t>
  </si>
  <si>
    <t>sales</t>
  </si>
  <si>
    <t>Totals</t>
  </si>
  <si>
    <t>VAT</t>
  </si>
  <si>
    <t>Total with tax</t>
  </si>
  <si>
    <t>Sheet title</t>
  </si>
  <si>
    <t>CATEGORY</t>
  </si>
  <si>
    <t>AMOUNT</t>
  </si>
  <si>
    <t>GROUP 2</t>
  </si>
  <si>
    <t>Erislandy ALVAREZ BGOLDGES</t>
  </si>
  <si>
    <t>DiyGOLDa KELDIYGOLDOVA</t>
  </si>
  <si>
    <t>ViktGOLD AXELSEN</t>
  </si>
  <si>
    <t>JGOLDis DAUDET</t>
  </si>
  <si>
    <t>NAGASE TakanGOLDi</t>
  </si>
  <si>
    <t>EleanGOLD ALDRIDGE</t>
  </si>
  <si>
    <t>HGOLDIGOME Yuto</t>
  </si>
  <si>
    <t>JGOLDdan Alejandro DIAZ FGOLDTUN</t>
  </si>
  <si>
    <t>Jose TGOLDRES GIL</t>
  </si>
  <si>
    <t>EQUESTRIAN</t>
  </si>
  <si>
    <t>MOUTAIN</t>
  </si>
  <si>
    <t>CYCLING</t>
  </si>
  <si>
    <t>DIVING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</si>
</sst>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  <xf numFmtId="14" fontId="4" fillId="0" borderId="0" xfId="0" applyNumberFormat="1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9" fontId="0" fillId="0" borderId="0" xfId="2" applyFont="1"/>
    <xf numFmtId="14" fontId="5" fillId="3" borderId="0" xfId="0" applyNumberFormat="1" applyFont="1" applyFill="1" applyAlignment="1">
      <alignment horizontal="centerContinuous"/>
    </xf>
    <xf numFmtId="0" fontId="1" fillId="2" borderId="0" xfId="3"/>
    <xf numFmtId="2" fontId="1" fillId="2" borderId="0" xfId="3" applyNumberFormat="1"/>
    <xf numFmtId="9" fontId="1" fillId="2" borderId="0" xfId="3" applyNumberFormat="1" applyAlignment="1">
      <alignment horizontal="center"/>
    </xf>
    <xf numFmtId="0" fontId="1" fillId="2" borderId="0" xfId="3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</cellXfs>
  <cellStyles count="4">
    <cellStyle name="20% - Accent1" xfId="3" builtinId="30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F1F1A93-3D46-416F-921D-223AEFEEB13B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2B969A9-83A3-4DD3-84A0-3159FCFB2006}">
  <we:reference id="wa200003696" version="1.3.0.0" store="fr-F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8F8E1078-46CA-4476-983A-B5536BB3C5E7}">
  <we:reference id="wa200005271" version="3.0.0.4" store="fr-FR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263E-0B34-496C-B64E-3019BD977F85}">
  <dimension ref="A1:Z80"/>
  <sheetViews>
    <sheetView workbookViewId="0"/>
  </sheetViews>
  <sheetFormatPr defaultColWidth="8.88671875" defaultRowHeight="14.4" x14ac:dyDescent="0.3"/>
  <cols>
    <col min="1" max="1" width="9.44140625" bestFit="1" customWidth="1"/>
    <col min="2" max="2" width="13.109375" bestFit="1" customWidth="1"/>
    <col min="3" max="3" width="10.6640625" bestFit="1" customWidth="1"/>
    <col min="4" max="4" width="11.109375" bestFit="1" customWidth="1"/>
    <col min="5" max="5" width="12.33203125" bestFit="1" customWidth="1"/>
    <col min="6" max="6" width="8.109375" bestFit="1" customWidth="1"/>
    <col min="7" max="7" width="7.109375" bestFit="1" customWidth="1"/>
    <col min="8" max="8" width="10.109375" bestFit="1" customWidth="1"/>
    <col min="9" max="9" width="7.33203125" bestFit="1" customWidth="1"/>
    <col min="10" max="10" width="7.109375" bestFit="1" customWidth="1"/>
    <col min="15" max="15" width="10.109375" bestFit="1" customWidth="1"/>
    <col min="18" max="18" width="10.88671875" bestFit="1" customWidth="1"/>
  </cols>
  <sheetData>
    <row r="1" spans="1: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M1" s="4"/>
      <c r="N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10</v>
      </c>
      <c r="B2" s="1">
        <v>44885</v>
      </c>
      <c r="C2" t="s">
        <v>11</v>
      </c>
      <c r="D2" s="2">
        <v>449000</v>
      </c>
      <c r="E2">
        <v>2</v>
      </c>
      <c r="F2">
        <v>3</v>
      </c>
      <c r="G2" s="3">
        <v>3200</v>
      </c>
      <c r="H2" t="s">
        <v>12</v>
      </c>
      <c r="I2" t="b">
        <v>0</v>
      </c>
      <c r="J2" t="b">
        <v>0</v>
      </c>
      <c r="R2" s="2"/>
      <c r="S2" s="3"/>
      <c r="W2" s="3"/>
    </row>
    <row r="3" spans="1:26" x14ac:dyDescent="0.3">
      <c r="A3" t="s">
        <v>13</v>
      </c>
      <c r="B3" s="1">
        <v>44817</v>
      </c>
      <c r="C3" t="s">
        <v>14</v>
      </c>
      <c r="D3" s="2">
        <v>444000</v>
      </c>
      <c r="E3">
        <v>4</v>
      </c>
      <c r="F3">
        <v>2</v>
      </c>
      <c r="G3" s="3">
        <v>3200</v>
      </c>
      <c r="H3" t="s">
        <v>15</v>
      </c>
      <c r="I3" t="b">
        <v>0</v>
      </c>
      <c r="J3" t="b">
        <v>0</v>
      </c>
      <c r="R3" s="2"/>
      <c r="S3" s="3"/>
      <c r="W3" s="3"/>
    </row>
    <row r="4" spans="1:26" x14ac:dyDescent="0.3">
      <c r="A4" t="s">
        <v>16</v>
      </c>
      <c r="B4" s="1">
        <v>44782</v>
      </c>
      <c r="C4" t="s">
        <v>14</v>
      </c>
      <c r="D4" s="2">
        <v>447000</v>
      </c>
      <c r="E4">
        <v>2</v>
      </c>
      <c r="F4">
        <v>3</v>
      </c>
      <c r="G4" s="3">
        <v>3200</v>
      </c>
      <c r="H4" t="s">
        <v>12</v>
      </c>
      <c r="I4" t="b">
        <v>1</v>
      </c>
      <c r="J4" t="b">
        <v>1</v>
      </c>
      <c r="R4" s="2"/>
      <c r="S4" s="3"/>
      <c r="W4" s="3"/>
    </row>
    <row r="5" spans="1:26" x14ac:dyDescent="0.3">
      <c r="A5" t="s">
        <v>17</v>
      </c>
      <c r="B5" s="1">
        <v>44620</v>
      </c>
      <c r="C5" t="s">
        <v>14</v>
      </c>
      <c r="D5" s="2">
        <v>447000</v>
      </c>
      <c r="E5">
        <v>4</v>
      </c>
      <c r="F5">
        <v>2.5</v>
      </c>
      <c r="G5" s="3">
        <v>3200</v>
      </c>
      <c r="H5" t="s">
        <v>12</v>
      </c>
      <c r="I5" t="b">
        <v>1</v>
      </c>
      <c r="J5" t="b">
        <v>0</v>
      </c>
      <c r="R5" s="2"/>
      <c r="S5" s="3"/>
      <c r="W5" s="3"/>
    </row>
    <row r="6" spans="1:26" x14ac:dyDescent="0.3">
      <c r="A6" t="s">
        <v>16</v>
      </c>
      <c r="B6" s="1">
        <v>44594</v>
      </c>
      <c r="C6" t="s">
        <v>11</v>
      </c>
      <c r="D6" s="2">
        <v>447000</v>
      </c>
      <c r="E6">
        <v>4</v>
      </c>
      <c r="F6">
        <v>2</v>
      </c>
      <c r="G6" s="3">
        <v>3200</v>
      </c>
      <c r="H6" t="s">
        <v>18</v>
      </c>
      <c r="I6" t="b">
        <v>1</v>
      </c>
      <c r="J6" t="b">
        <v>0</v>
      </c>
      <c r="R6" s="2"/>
      <c r="S6" s="3"/>
      <c r="W6" s="3"/>
    </row>
    <row r="7" spans="1:26" x14ac:dyDescent="0.3">
      <c r="A7" t="s">
        <v>19</v>
      </c>
      <c r="B7" s="1">
        <v>44786</v>
      </c>
      <c r="C7" t="s">
        <v>11</v>
      </c>
      <c r="D7" s="2">
        <v>436000</v>
      </c>
      <c r="E7">
        <v>2</v>
      </c>
      <c r="F7">
        <v>3</v>
      </c>
      <c r="G7" s="3">
        <v>3100</v>
      </c>
      <c r="H7" t="s">
        <v>20</v>
      </c>
      <c r="I7" t="b">
        <v>1</v>
      </c>
      <c r="J7" t="b">
        <v>0</v>
      </c>
      <c r="R7" s="2"/>
      <c r="S7" s="3"/>
      <c r="W7" s="3"/>
    </row>
    <row r="8" spans="1:26" x14ac:dyDescent="0.3">
      <c r="A8" t="s">
        <v>21</v>
      </c>
      <c r="B8" s="1">
        <v>44611</v>
      </c>
      <c r="C8" t="s">
        <v>14</v>
      </c>
      <c r="D8" s="2">
        <v>433000</v>
      </c>
      <c r="E8">
        <v>4</v>
      </c>
      <c r="F8">
        <v>3</v>
      </c>
      <c r="G8" s="3">
        <v>3100</v>
      </c>
      <c r="H8" t="s">
        <v>15</v>
      </c>
      <c r="I8" t="b">
        <v>1</v>
      </c>
      <c r="J8" t="b">
        <v>0</v>
      </c>
      <c r="R8" s="2"/>
      <c r="S8" s="3"/>
      <c r="W8" s="3"/>
    </row>
    <row r="9" spans="1:26" x14ac:dyDescent="0.3">
      <c r="A9" t="s">
        <v>22</v>
      </c>
      <c r="B9" s="1">
        <v>44642</v>
      </c>
      <c r="C9" t="s">
        <v>11</v>
      </c>
      <c r="D9" s="2">
        <v>424000</v>
      </c>
      <c r="E9">
        <v>3</v>
      </c>
      <c r="F9">
        <v>3</v>
      </c>
      <c r="G9" s="3">
        <v>3000</v>
      </c>
      <c r="H9" t="s">
        <v>18</v>
      </c>
      <c r="I9" t="b">
        <v>0</v>
      </c>
      <c r="J9" t="b">
        <v>0</v>
      </c>
      <c r="R9" s="2"/>
      <c r="S9" s="3"/>
      <c r="W9" s="3"/>
    </row>
    <row r="10" spans="1:26" x14ac:dyDescent="0.3">
      <c r="A10" t="s">
        <v>17</v>
      </c>
      <c r="B10" s="1">
        <v>44594</v>
      </c>
      <c r="C10" t="s">
        <v>11</v>
      </c>
      <c r="D10" s="2">
        <v>413000</v>
      </c>
      <c r="E10">
        <v>4</v>
      </c>
      <c r="F10">
        <v>3</v>
      </c>
      <c r="G10" s="3">
        <v>3000</v>
      </c>
      <c r="H10" t="s">
        <v>20</v>
      </c>
      <c r="I10" t="b">
        <v>0</v>
      </c>
      <c r="J10" t="b">
        <v>0</v>
      </c>
      <c r="R10" s="2"/>
      <c r="S10" s="3"/>
      <c r="W10" s="3"/>
    </row>
    <row r="11" spans="1:26" x14ac:dyDescent="0.3">
      <c r="A11" t="s">
        <v>13</v>
      </c>
      <c r="B11" s="1">
        <v>44610</v>
      </c>
      <c r="C11" t="s">
        <v>11</v>
      </c>
      <c r="D11" s="2">
        <v>403000</v>
      </c>
      <c r="E11">
        <v>4</v>
      </c>
      <c r="F11">
        <v>3</v>
      </c>
      <c r="G11" s="3">
        <v>2900</v>
      </c>
      <c r="H11" t="s">
        <v>15</v>
      </c>
      <c r="I11" t="b">
        <v>0</v>
      </c>
      <c r="J11" t="b">
        <v>0</v>
      </c>
      <c r="R11" s="2"/>
      <c r="S11" s="3"/>
      <c r="W11" s="3"/>
    </row>
    <row r="12" spans="1:26" x14ac:dyDescent="0.3">
      <c r="A12" t="s">
        <v>23</v>
      </c>
      <c r="B12" s="1">
        <v>44581</v>
      </c>
      <c r="C12" t="s">
        <v>11</v>
      </c>
      <c r="D12" s="2">
        <v>399000</v>
      </c>
      <c r="E12">
        <v>4</v>
      </c>
      <c r="F12">
        <v>3</v>
      </c>
      <c r="G12" s="3">
        <v>2900</v>
      </c>
      <c r="H12" t="s">
        <v>12</v>
      </c>
      <c r="I12" t="b">
        <v>0</v>
      </c>
      <c r="J12" t="b">
        <v>1</v>
      </c>
      <c r="R12" s="2"/>
      <c r="S12" s="3"/>
      <c r="W12" s="3"/>
    </row>
    <row r="13" spans="1:26" x14ac:dyDescent="0.3">
      <c r="A13" t="s">
        <v>24</v>
      </c>
      <c r="B13" s="1">
        <v>44920</v>
      </c>
      <c r="C13" t="s">
        <v>14</v>
      </c>
      <c r="D13" s="2">
        <v>390000</v>
      </c>
      <c r="E13">
        <v>2</v>
      </c>
      <c r="F13">
        <v>3</v>
      </c>
      <c r="G13" s="3">
        <v>2800</v>
      </c>
      <c r="H13" t="s">
        <v>15</v>
      </c>
      <c r="I13" t="b">
        <v>1</v>
      </c>
      <c r="J13" t="b">
        <v>0</v>
      </c>
      <c r="R13" s="2"/>
      <c r="S13" s="3"/>
      <c r="W13" s="3"/>
    </row>
    <row r="14" spans="1:26" x14ac:dyDescent="0.3">
      <c r="A14" t="s">
        <v>25</v>
      </c>
      <c r="B14" s="1">
        <v>44887</v>
      </c>
      <c r="C14" t="s">
        <v>14</v>
      </c>
      <c r="D14" s="2">
        <v>389000</v>
      </c>
      <c r="E14">
        <v>3</v>
      </c>
      <c r="F14">
        <v>2</v>
      </c>
      <c r="G14" s="3">
        <v>2800</v>
      </c>
      <c r="H14" t="s">
        <v>12</v>
      </c>
      <c r="I14" t="b">
        <v>1</v>
      </c>
      <c r="J14" t="b">
        <v>1</v>
      </c>
      <c r="R14" s="2"/>
      <c r="S14" s="3"/>
      <c r="W14" s="3"/>
    </row>
    <row r="15" spans="1:26" x14ac:dyDescent="0.3">
      <c r="A15" t="s">
        <v>26</v>
      </c>
      <c r="B15" s="1">
        <v>44822</v>
      </c>
      <c r="C15" t="s">
        <v>27</v>
      </c>
      <c r="D15" s="2">
        <v>395000</v>
      </c>
      <c r="E15">
        <v>3</v>
      </c>
      <c r="F15">
        <v>2</v>
      </c>
      <c r="G15" s="3">
        <v>2800</v>
      </c>
      <c r="H15" t="s">
        <v>20</v>
      </c>
      <c r="I15" t="b">
        <v>0</v>
      </c>
      <c r="J15" t="b">
        <v>1</v>
      </c>
      <c r="R15" s="2"/>
      <c r="S15" s="3"/>
      <c r="W15" s="3"/>
    </row>
    <row r="16" spans="1:26" x14ac:dyDescent="0.3">
      <c r="A16" t="s">
        <v>25</v>
      </c>
      <c r="B16" s="1">
        <v>44667</v>
      </c>
      <c r="C16" t="s">
        <v>14</v>
      </c>
      <c r="D16" s="2">
        <v>388000</v>
      </c>
      <c r="E16">
        <v>4</v>
      </c>
      <c r="F16">
        <v>3</v>
      </c>
      <c r="G16" s="3">
        <v>2800</v>
      </c>
      <c r="H16" t="s">
        <v>20</v>
      </c>
      <c r="I16" t="b">
        <v>0</v>
      </c>
      <c r="J16" t="b">
        <v>1</v>
      </c>
      <c r="R16" s="2"/>
      <c r="S16" s="3"/>
      <c r="W16" s="3"/>
    </row>
    <row r="17" spans="1:23" x14ac:dyDescent="0.3">
      <c r="A17" t="s">
        <v>24</v>
      </c>
      <c r="B17" s="1">
        <v>44662</v>
      </c>
      <c r="C17" t="s">
        <v>28</v>
      </c>
      <c r="D17" s="2">
        <v>389000</v>
      </c>
      <c r="E17">
        <v>3</v>
      </c>
      <c r="F17">
        <v>2</v>
      </c>
      <c r="G17" s="3">
        <v>2800</v>
      </c>
      <c r="H17" t="s">
        <v>20</v>
      </c>
      <c r="I17" t="b">
        <v>0</v>
      </c>
      <c r="J17" t="b">
        <v>1</v>
      </c>
      <c r="R17" s="2"/>
      <c r="S17" s="3"/>
      <c r="W17" s="3"/>
    </row>
    <row r="18" spans="1:23" x14ac:dyDescent="0.3">
      <c r="A18" t="s">
        <v>26</v>
      </c>
      <c r="B18" s="1">
        <v>44639</v>
      </c>
      <c r="C18" t="s">
        <v>11</v>
      </c>
      <c r="D18" s="2">
        <v>385000</v>
      </c>
      <c r="E18">
        <v>4</v>
      </c>
      <c r="F18">
        <v>3.5</v>
      </c>
      <c r="G18" s="3">
        <v>2800</v>
      </c>
      <c r="H18" t="s">
        <v>20</v>
      </c>
      <c r="I18" t="b">
        <v>1</v>
      </c>
      <c r="J18" t="b">
        <v>0</v>
      </c>
      <c r="R18" s="2"/>
      <c r="S18" s="3"/>
      <c r="W18" s="3"/>
    </row>
    <row r="19" spans="1:23" x14ac:dyDescent="0.3">
      <c r="A19" t="s">
        <v>26</v>
      </c>
      <c r="B19" s="1">
        <v>44608</v>
      </c>
      <c r="C19" t="s">
        <v>28</v>
      </c>
      <c r="D19" s="2">
        <v>396000</v>
      </c>
      <c r="E19">
        <v>4</v>
      </c>
      <c r="F19">
        <v>3</v>
      </c>
      <c r="G19" s="3">
        <v>2800</v>
      </c>
      <c r="H19" t="s">
        <v>18</v>
      </c>
      <c r="I19" t="b">
        <v>1</v>
      </c>
      <c r="J19" t="b">
        <v>1</v>
      </c>
      <c r="R19" s="2"/>
      <c r="S19" s="3"/>
      <c r="W19" s="3"/>
    </row>
    <row r="20" spans="1:23" x14ac:dyDescent="0.3">
      <c r="A20" t="s">
        <v>25</v>
      </c>
      <c r="B20" s="1">
        <v>44573</v>
      </c>
      <c r="C20" t="s">
        <v>11</v>
      </c>
      <c r="D20" s="2">
        <v>397000</v>
      </c>
      <c r="E20">
        <v>3</v>
      </c>
      <c r="F20">
        <v>3</v>
      </c>
      <c r="G20" s="3">
        <v>2800</v>
      </c>
      <c r="H20" t="s">
        <v>20</v>
      </c>
      <c r="I20" t="b">
        <v>1</v>
      </c>
      <c r="J20" t="b">
        <v>0</v>
      </c>
      <c r="R20" s="2"/>
      <c r="S20" s="3"/>
      <c r="W20" s="3"/>
    </row>
    <row r="21" spans="1:23" x14ac:dyDescent="0.3">
      <c r="A21" t="s">
        <v>26</v>
      </c>
      <c r="B21" s="1">
        <v>44696</v>
      </c>
      <c r="C21" t="s">
        <v>11</v>
      </c>
      <c r="D21" s="2">
        <v>379000</v>
      </c>
      <c r="E21">
        <v>2</v>
      </c>
      <c r="F21">
        <v>3</v>
      </c>
      <c r="G21" s="3">
        <v>2700</v>
      </c>
      <c r="H21" t="s">
        <v>18</v>
      </c>
      <c r="I21" t="b">
        <v>1</v>
      </c>
      <c r="J21" t="b">
        <v>0</v>
      </c>
      <c r="R21" s="2"/>
      <c r="S21" s="3"/>
      <c r="W21" s="3"/>
    </row>
    <row r="22" spans="1:23" x14ac:dyDescent="0.3">
      <c r="A22" t="s">
        <v>25</v>
      </c>
      <c r="B22" s="1">
        <v>44661</v>
      </c>
      <c r="C22" t="s">
        <v>27</v>
      </c>
      <c r="D22" s="2">
        <v>384000</v>
      </c>
      <c r="E22">
        <v>4</v>
      </c>
      <c r="F22">
        <v>2</v>
      </c>
      <c r="G22" s="3">
        <v>2700</v>
      </c>
      <c r="H22" t="s">
        <v>18</v>
      </c>
      <c r="I22" t="b">
        <v>0</v>
      </c>
      <c r="J22" t="b">
        <v>0</v>
      </c>
      <c r="R22" s="2"/>
      <c r="S22" s="3"/>
      <c r="W22" s="3"/>
    </row>
    <row r="23" spans="1:23" x14ac:dyDescent="0.3">
      <c r="A23" t="s">
        <v>29</v>
      </c>
      <c r="B23" s="1">
        <v>44636</v>
      </c>
      <c r="C23" t="s">
        <v>11</v>
      </c>
      <c r="D23" s="2">
        <v>371000</v>
      </c>
      <c r="E23">
        <v>4</v>
      </c>
      <c r="F23">
        <v>2</v>
      </c>
      <c r="G23" s="3">
        <v>2700</v>
      </c>
      <c r="H23" t="s">
        <v>18</v>
      </c>
      <c r="I23" t="b">
        <v>1</v>
      </c>
      <c r="J23" t="b">
        <v>0</v>
      </c>
      <c r="R23" s="2"/>
      <c r="S23" s="3"/>
      <c r="W23" s="3"/>
    </row>
    <row r="24" spans="1:23" x14ac:dyDescent="0.3">
      <c r="A24" t="s">
        <v>10</v>
      </c>
      <c r="B24" s="1">
        <v>44612</v>
      </c>
      <c r="C24" t="s">
        <v>11</v>
      </c>
      <c r="D24" s="2">
        <v>372000</v>
      </c>
      <c r="E24">
        <v>2</v>
      </c>
      <c r="F24">
        <v>2.5</v>
      </c>
      <c r="G24" s="3">
        <v>2700</v>
      </c>
      <c r="H24" t="s">
        <v>15</v>
      </c>
      <c r="I24" t="b">
        <v>0</v>
      </c>
      <c r="J24" t="b">
        <v>0</v>
      </c>
      <c r="R24" s="2"/>
      <c r="S24" s="3"/>
      <c r="W24" s="3"/>
    </row>
    <row r="25" spans="1:23" x14ac:dyDescent="0.3">
      <c r="A25" t="s">
        <v>25</v>
      </c>
      <c r="B25" s="1">
        <v>44571</v>
      </c>
      <c r="C25" t="s">
        <v>11</v>
      </c>
      <c r="D25" s="2">
        <v>372000</v>
      </c>
      <c r="E25">
        <v>2</v>
      </c>
      <c r="F25">
        <v>2</v>
      </c>
      <c r="G25" s="3">
        <v>2700</v>
      </c>
      <c r="H25" t="s">
        <v>18</v>
      </c>
      <c r="I25" t="b">
        <v>0</v>
      </c>
      <c r="J25" t="b">
        <v>1</v>
      </c>
      <c r="R25" s="2"/>
      <c r="S25" s="3"/>
      <c r="W25" s="3"/>
    </row>
    <row r="26" spans="1:23" x14ac:dyDescent="0.3">
      <c r="A26" t="s">
        <v>10</v>
      </c>
      <c r="B26" s="1">
        <v>44884</v>
      </c>
      <c r="C26" t="s">
        <v>28</v>
      </c>
      <c r="D26" s="2">
        <v>366000</v>
      </c>
      <c r="E26">
        <v>4</v>
      </c>
      <c r="F26">
        <v>3</v>
      </c>
      <c r="G26" s="3">
        <v>2600</v>
      </c>
      <c r="H26" t="s">
        <v>15</v>
      </c>
      <c r="I26" t="b">
        <v>1</v>
      </c>
      <c r="J26" t="b">
        <v>1</v>
      </c>
    </row>
    <row r="27" spans="1:23" x14ac:dyDescent="0.3">
      <c r="A27" t="s">
        <v>26</v>
      </c>
      <c r="B27" s="1">
        <v>44615</v>
      </c>
      <c r="C27" t="s">
        <v>14</v>
      </c>
      <c r="D27" s="2">
        <v>363000</v>
      </c>
      <c r="E27">
        <v>3</v>
      </c>
      <c r="F27">
        <v>2</v>
      </c>
      <c r="G27" s="3">
        <v>2600</v>
      </c>
      <c r="H27" t="s">
        <v>18</v>
      </c>
      <c r="I27" t="b">
        <v>0</v>
      </c>
      <c r="J27" t="b">
        <v>0</v>
      </c>
    </row>
    <row r="28" spans="1:23" x14ac:dyDescent="0.3">
      <c r="A28" t="s">
        <v>25</v>
      </c>
      <c r="B28" s="1">
        <v>44830</v>
      </c>
      <c r="C28" t="s">
        <v>11</v>
      </c>
      <c r="D28" s="2">
        <v>352000</v>
      </c>
      <c r="E28">
        <v>2</v>
      </c>
      <c r="F28">
        <v>3</v>
      </c>
      <c r="G28" s="3">
        <v>2500</v>
      </c>
      <c r="H28" t="s">
        <v>18</v>
      </c>
      <c r="I28" t="b">
        <v>1</v>
      </c>
      <c r="J28" t="b">
        <v>0</v>
      </c>
    </row>
    <row r="29" spans="1:23" x14ac:dyDescent="0.3">
      <c r="A29" t="s">
        <v>24</v>
      </c>
      <c r="B29" s="1">
        <v>44822</v>
      </c>
      <c r="C29" t="s">
        <v>11</v>
      </c>
      <c r="D29" s="2">
        <v>354000</v>
      </c>
      <c r="E29">
        <v>2</v>
      </c>
      <c r="F29">
        <v>2</v>
      </c>
      <c r="G29" s="3">
        <v>2500</v>
      </c>
      <c r="H29" t="s">
        <v>12</v>
      </c>
      <c r="I29" t="b">
        <v>1</v>
      </c>
      <c r="J29" t="b">
        <v>1</v>
      </c>
    </row>
    <row r="30" spans="1:23" x14ac:dyDescent="0.3">
      <c r="A30" t="s">
        <v>30</v>
      </c>
      <c r="B30" s="1">
        <v>44769</v>
      </c>
      <c r="C30" t="s">
        <v>28</v>
      </c>
      <c r="D30" s="2">
        <v>344000</v>
      </c>
      <c r="E30">
        <v>3</v>
      </c>
      <c r="F30">
        <v>2.5</v>
      </c>
      <c r="G30" s="3">
        <v>2500</v>
      </c>
      <c r="H30" t="s">
        <v>12</v>
      </c>
      <c r="I30" t="b">
        <v>1</v>
      </c>
      <c r="J30" t="b">
        <v>0</v>
      </c>
    </row>
    <row r="31" spans="1:23" x14ac:dyDescent="0.3">
      <c r="A31" t="s">
        <v>26</v>
      </c>
      <c r="B31" s="1">
        <v>44750</v>
      </c>
      <c r="C31" t="s">
        <v>11</v>
      </c>
      <c r="D31" s="2">
        <v>343000</v>
      </c>
      <c r="E31">
        <v>3</v>
      </c>
      <c r="F31">
        <v>2</v>
      </c>
      <c r="G31" s="3">
        <v>2500</v>
      </c>
      <c r="H31" t="s">
        <v>20</v>
      </c>
      <c r="I31" t="b">
        <v>0</v>
      </c>
      <c r="J31" t="b">
        <v>0</v>
      </c>
    </row>
    <row r="32" spans="1:23" x14ac:dyDescent="0.3">
      <c r="A32" t="s">
        <v>24</v>
      </c>
      <c r="B32" s="1">
        <v>44675</v>
      </c>
      <c r="C32" t="s">
        <v>14</v>
      </c>
      <c r="D32" s="2">
        <v>343000</v>
      </c>
      <c r="E32">
        <v>3</v>
      </c>
      <c r="F32">
        <v>2.5</v>
      </c>
      <c r="G32" s="3">
        <v>2500</v>
      </c>
      <c r="H32" t="s">
        <v>15</v>
      </c>
      <c r="I32" t="b">
        <v>1</v>
      </c>
      <c r="J32" t="b">
        <v>0</v>
      </c>
    </row>
    <row r="33" spans="1:10" x14ac:dyDescent="0.3">
      <c r="A33" t="s">
        <v>16</v>
      </c>
      <c r="B33" s="1">
        <v>44907</v>
      </c>
      <c r="C33" t="s">
        <v>14</v>
      </c>
      <c r="D33" s="2">
        <v>334000</v>
      </c>
      <c r="E33">
        <v>3</v>
      </c>
      <c r="F33">
        <v>2</v>
      </c>
      <c r="G33" s="3">
        <v>2400</v>
      </c>
      <c r="H33" t="s">
        <v>15</v>
      </c>
      <c r="I33" t="b">
        <v>1</v>
      </c>
      <c r="J33" t="b">
        <v>1</v>
      </c>
    </row>
    <row r="34" spans="1:10" x14ac:dyDescent="0.3">
      <c r="A34" t="s">
        <v>26</v>
      </c>
      <c r="B34" s="1">
        <v>44844</v>
      </c>
      <c r="C34" t="s">
        <v>14</v>
      </c>
      <c r="D34" s="2">
        <v>338000</v>
      </c>
      <c r="E34">
        <v>3</v>
      </c>
      <c r="F34">
        <v>3</v>
      </c>
      <c r="G34" s="3">
        <v>2400</v>
      </c>
      <c r="H34" t="s">
        <v>18</v>
      </c>
      <c r="I34" t="b">
        <v>1</v>
      </c>
      <c r="J34" t="b">
        <v>1</v>
      </c>
    </row>
    <row r="35" spans="1:10" x14ac:dyDescent="0.3">
      <c r="A35" t="s">
        <v>26</v>
      </c>
      <c r="B35" s="1">
        <v>44814</v>
      </c>
      <c r="C35" t="s">
        <v>27</v>
      </c>
      <c r="D35" s="2">
        <v>340000</v>
      </c>
      <c r="E35">
        <v>3</v>
      </c>
      <c r="F35">
        <v>3</v>
      </c>
      <c r="G35" s="3">
        <v>2400</v>
      </c>
      <c r="H35" t="s">
        <v>20</v>
      </c>
      <c r="I35" t="b">
        <v>1</v>
      </c>
      <c r="J35" t="b">
        <v>0</v>
      </c>
    </row>
    <row r="36" spans="1:10" x14ac:dyDescent="0.3">
      <c r="A36" t="s">
        <v>31</v>
      </c>
      <c r="B36" s="1">
        <v>44788</v>
      </c>
      <c r="C36" t="s">
        <v>28</v>
      </c>
      <c r="D36" s="2">
        <v>341000</v>
      </c>
      <c r="E36">
        <v>3</v>
      </c>
      <c r="F36">
        <v>3</v>
      </c>
      <c r="G36" s="3">
        <v>2400</v>
      </c>
      <c r="H36" t="s">
        <v>20</v>
      </c>
      <c r="I36" t="b">
        <v>1</v>
      </c>
      <c r="J36" t="b">
        <v>0</v>
      </c>
    </row>
    <row r="37" spans="1:10" x14ac:dyDescent="0.3">
      <c r="A37" t="s">
        <v>21</v>
      </c>
      <c r="B37" s="1">
        <v>44786</v>
      </c>
      <c r="C37" t="s">
        <v>14</v>
      </c>
      <c r="D37" s="2">
        <v>334000</v>
      </c>
      <c r="E37">
        <v>4</v>
      </c>
      <c r="F37">
        <v>3</v>
      </c>
      <c r="G37" s="3">
        <v>2400</v>
      </c>
      <c r="H37" t="s">
        <v>18</v>
      </c>
      <c r="I37" t="b">
        <v>0</v>
      </c>
      <c r="J37" t="b">
        <v>0</v>
      </c>
    </row>
    <row r="38" spans="1:10" x14ac:dyDescent="0.3">
      <c r="A38" t="s">
        <v>31</v>
      </c>
      <c r="B38" s="1">
        <v>44779</v>
      </c>
      <c r="C38" t="s">
        <v>11</v>
      </c>
      <c r="D38" s="2">
        <v>336000</v>
      </c>
      <c r="E38">
        <v>3</v>
      </c>
      <c r="F38">
        <v>2</v>
      </c>
      <c r="G38" s="3">
        <v>2400</v>
      </c>
      <c r="H38" t="s">
        <v>15</v>
      </c>
      <c r="I38" t="b">
        <v>1</v>
      </c>
      <c r="J38" t="b">
        <v>1</v>
      </c>
    </row>
    <row r="39" spans="1:10" x14ac:dyDescent="0.3">
      <c r="A39" t="s">
        <v>30</v>
      </c>
      <c r="B39" s="1">
        <v>44724</v>
      </c>
      <c r="C39" t="s">
        <v>14</v>
      </c>
      <c r="D39" s="2">
        <v>329000</v>
      </c>
      <c r="E39">
        <v>3</v>
      </c>
      <c r="F39">
        <v>2.5</v>
      </c>
      <c r="G39" s="3">
        <v>2400</v>
      </c>
      <c r="H39" t="s">
        <v>15</v>
      </c>
      <c r="I39" t="b">
        <v>0</v>
      </c>
      <c r="J39" t="b">
        <v>0</v>
      </c>
    </row>
    <row r="40" spans="1:10" x14ac:dyDescent="0.3">
      <c r="A40" t="s">
        <v>23</v>
      </c>
      <c r="B40" s="1">
        <v>44690</v>
      </c>
      <c r="C40" t="s">
        <v>14</v>
      </c>
      <c r="D40" s="2">
        <v>336000</v>
      </c>
      <c r="E40">
        <v>3</v>
      </c>
      <c r="F40">
        <v>2</v>
      </c>
      <c r="G40" s="3">
        <v>2400</v>
      </c>
      <c r="H40" t="s">
        <v>15</v>
      </c>
      <c r="I40" t="b">
        <v>1</v>
      </c>
      <c r="J40" t="b">
        <v>0</v>
      </c>
    </row>
    <row r="41" spans="1:10" x14ac:dyDescent="0.3">
      <c r="A41" t="s">
        <v>29</v>
      </c>
      <c r="B41" s="1">
        <v>44648</v>
      </c>
      <c r="C41" t="s">
        <v>28</v>
      </c>
      <c r="D41" s="2">
        <v>336000</v>
      </c>
      <c r="E41">
        <v>3</v>
      </c>
      <c r="F41">
        <v>2</v>
      </c>
      <c r="G41" s="3">
        <v>2400</v>
      </c>
      <c r="H41" t="s">
        <v>20</v>
      </c>
      <c r="I41" t="b">
        <v>1</v>
      </c>
      <c r="J41" t="b">
        <v>1</v>
      </c>
    </row>
    <row r="42" spans="1:10" x14ac:dyDescent="0.3">
      <c r="A42" t="s">
        <v>24</v>
      </c>
      <c r="B42" s="1">
        <v>44626</v>
      </c>
      <c r="C42" t="s">
        <v>11</v>
      </c>
      <c r="D42" s="2">
        <v>342000</v>
      </c>
      <c r="E42">
        <v>4</v>
      </c>
      <c r="F42">
        <v>2</v>
      </c>
      <c r="G42" s="3">
        <v>2400</v>
      </c>
      <c r="H42" t="s">
        <v>20</v>
      </c>
      <c r="I42" t="b">
        <v>0</v>
      </c>
      <c r="J42" t="b">
        <v>1</v>
      </c>
    </row>
    <row r="43" spans="1:10" x14ac:dyDescent="0.3">
      <c r="A43" t="s">
        <v>30</v>
      </c>
      <c r="B43" s="1">
        <v>44622</v>
      </c>
      <c r="C43" t="s">
        <v>28</v>
      </c>
      <c r="D43" s="2">
        <v>337000</v>
      </c>
      <c r="E43">
        <v>4</v>
      </c>
      <c r="F43">
        <v>3</v>
      </c>
      <c r="G43" s="3">
        <v>2400</v>
      </c>
      <c r="H43" t="s">
        <v>15</v>
      </c>
      <c r="I43" t="b">
        <v>0</v>
      </c>
      <c r="J43" t="b">
        <v>0</v>
      </c>
    </row>
    <row r="44" spans="1:10" x14ac:dyDescent="0.3">
      <c r="A44" t="s">
        <v>30</v>
      </c>
      <c r="B44" s="1">
        <v>44901</v>
      </c>
      <c r="C44" t="s">
        <v>11</v>
      </c>
      <c r="D44" s="2">
        <v>321000</v>
      </c>
      <c r="E44">
        <v>3</v>
      </c>
      <c r="F44">
        <v>2</v>
      </c>
      <c r="G44" s="3">
        <v>2300</v>
      </c>
      <c r="H44" t="s">
        <v>12</v>
      </c>
      <c r="I44" t="b">
        <v>1</v>
      </c>
      <c r="J44" t="b">
        <v>1</v>
      </c>
    </row>
    <row r="45" spans="1:10" x14ac:dyDescent="0.3">
      <c r="A45" t="s">
        <v>19</v>
      </c>
      <c r="B45" s="1">
        <v>44888</v>
      </c>
      <c r="C45" t="s">
        <v>27</v>
      </c>
      <c r="D45" s="2">
        <v>323000</v>
      </c>
      <c r="E45">
        <v>2</v>
      </c>
      <c r="F45">
        <v>3</v>
      </c>
      <c r="G45" s="3">
        <v>2300</v>
      </c>
      <c r="H45" t="s">
        <v>12</v>
      </c>
      <c r="I45" t="b">
        <v>0</v>
      </c>
      <c r="J45" t="b">
        <v>1</v>
      </c>
    </row>
    <row r="46" spans="1:10" x14ac:dyDescent="0.3">
      <c r="A46" t="s">
        <v>13</v>
      </c>
      <c r="B46" s="1">
        <v>44861</v>
      </c>
      <c r="C46" t="s">
        <v>28</v>
      </c>
      <c r="D46" s="2">
        <v>327000</v>
      </c>
      <c r="E46">
        <v>2</v>
      </c>
      <c r="F46">
        <v>2</v>
      </c>
      <c r="G46" s="3">
        <v>2300</v>
      </c>
      <c r="H46" t="s">
        <v>12</v>
      </c>
      <c r="I46" t="b">
        <v>1</v>
      </c>
      <c r="J46" t="b">
        <v>0</v>
      </c>
    </row>
    <row r="47" spans="1:10" x14ac:dyDescent="0.3">
      <c r="A47" t="s">
        <v>23</v>
      </c>
      <c r="B47" s="1">
        <v>44709</v>
      </c>
      <c r="C47" t="s">
        <v>14</v>
      </c>
      <c r="D47" s="2">
        <v>302000</v>
      </c>
      <c r="E47">
        <v>3</v>
      </c>
      <c r="F47">
        <v>2</v>
      </c>
      <c r="G47" s="3">
        <v>2200</v>
      </c>
      <c r="H47" t="s">
        <v>18</v>
      </c>
      <c r="I47" t="b">
        <v>1</v>
      </c>
      <c r="J47" t="b">
        <v>0</v>
      </c>
    </row>
    <row r="48" spans="1:10" x14ac:dyDescent="0.3">
      <c r="A48" t="s">
        <v>25</v>
      </c>
      <c r="B48" s="1">
        <v>44665</v>
      </c>
      <c r="C48" t="s">
        <v>11</v>
      </c>
      <c r="D48" s="2">
        <v>310000</v>
      </c>
      <c r="E48">
        <v>3</v>
      </c>
      <c r="F48">
        <v>3.5</v>
      </c>
      <c r="G48" s="3">
        <v>2200</v>
      </c>
      <c r="H48" t="s">
        <v>15</v>
      </c>
      <c r="I48" t="b">
        <v>0</v>
      </c>
      <c r="J48" t="b">
        <v>1</v>
      </c>
    </row>
    <row r="49" spans="1:15" x14ac:dyDescent="0.3">
      <c r="A49" t="s">
        <v>32</v>
      </c>
      <c r="B49" s="1">
        <v>44637</v>
      </c>
      <c r="C49" t="s">
        <v>11</v>
      </c>
      <c r="D49" s="2">
        <v>312000</v>
      </c>
      <c r="E49">
        <v>4</v>
      </c>
      <c r="F49">
        <v>3</v>
      </c>
      <c r="G49" s="3">
        <v>2200</v>
      </c>
      <c r="H49" t="s">
        <v>12</v>
      </c>
      <c r="I49" t="b">
        <v>0</v>
      </c>
      <c r="J49" t="b">
        <v>1</v>
      </c>
    </row>
    <row r="50" spans="1:15" x14ac:dyDescent="0.3">
      <c r="A50" t="s">
        <v>24</v>
      </c>
      <c r="B50" s="1">
        <v>44615</v>
      </c>
      <c r="C50" t="s">
        <v>14</v>
      </c>
      <c r="D50" s="2">
        <v>305000</v>
      </c>
      <c r="E50">
        <v>4</v>
      </c>
      <c r="F50">
        <v>2</v>
      </c>
      <c r="G50" s="3">
        <v>2200</v>
      </c>
      <c r="H50" t="s">
        <v>18</v>
      </c>
      <c r="I50" t="b">
        <v>1</v>
      </c>
      <c r="J50" t="b">
        <v>1</v>
      </c>
    </row>
    <row r="51" spans="1:15" x14ac:dyDescent="0.3">
      <c r="A51" t="s">
        <v>24</v>
      </c>
      <c r="B51" s="1">
        <v>44565</v>
      </c>
      <c r="C51" t="s">
        <v>11</v>
      </c>
      <c r="D51" s="2">
        <v>313000</v>
      </c>
      <c r="E51">
        <v>2</v>
      </c>
      <c r="F51">
        <v>3</v>
      </c>
      <c r="G51" s="3">
        <v>2200</v>
      </c>
      <c r="H51" t="s">
        <v>12</v>
      </c>
      <c r="I51" t="b">
        <v>0</v>
      </c>
      <c r="J51" t="b">
        <v>1</v>
      </c>
    </row>
    <row r="52" spans="1:15" x14ac:dyDescent="0.3">
      <c r="A52" t="s">
        <v>19</v>
      </c>
      <c r="B52" s="1">
        <v>44913</v>
      </c>
      <c r="C52" t="s">
        <v>28</v>
      </c>
      <c r="D52" s="2">
        <v>293000</v>
      </c>
      <c r="E52">
        <v>2</v>
      </c>
      <c r="F52">
        <v>2.5</v>
      </c>
      <c r="G52" s="3">
        <v>2100</v>
      </c>
      <c r="H52" t="s">
        <v>12</v>
      </c>
      <c r="I52" t="b">
        <v>0</v>
      </c>
      <c r="J52" t="b">
        <v>0</v>
      </c>
    </row>
    <row r="53" spans="1:15" x14ac:dyDescent="0.3">
      <c r="A53" t="s">
        <v>24</v>
      </c>
      <c r="B53" s="1">
        <v>44846</v>
      </c>
      <c r="C53" t="s">
        <v>28</v>
      </c>
      <c r="D53" s="2">
        <v>300000</v>
      </c>
      <c r="E53">
        <v>2</v>
      </c>
      <c r="F53">
        <v>2.5</v>
      </c>
      <c r="G53" s="3">
        <v>2100</v>
      </c>
      <c r="H53" t="s">
        <v>18</v>
      </c>
      <c r="I53" t="b">
        <v>0</v>
      </c>
      <c r="J53" t="b">
        <v>1</v>
      </c>
    </row>
    <row r="54" spans="1:15" x14ac:dyDescent="0.3">
      <c r="A54" t="s">
        <v>25</v>
      </c>
      <c r="B54" s="1">
        <v>44826</v>
      </c>
      <c r="C54" t="s">
        <v>28</v>
      </c>
      <c r="D54" s="2">
        <v>288000</v>
      </c>
      <c r="E54">
        <v>3</v>
      </c>
      <c r="F54">
        <v>2</v>
      </c>
      <c r="G54" s="3">
        <v>2100</v>
      </c>
      <c r="H54" t="s">
        <v>20</v>
      </c>
      <c r="I54" t="b">
        <v>0</v>
      </c>
      <c r="J54" t="b">
        <v>0</v>
      </c>
    </row>
    <row r="55" spans="1:15" x14ac:dyDescent="0.3">
      <c r="A55" t="s">
        <v>25</v>
      </c>
      <c r="B55" s="1">
        <v>44816</v>
      </c>
      <c r="C55" t="s">
        <v>28</v>
      </c>
      <c r="D55" s="2">
        <v>291000</v>
      </c>
      <c r="E55">
        <v>3</v>
      </c>
      <c r="F55">
        <v>2</v>
      </c>
      <c r="G55" s="3">
        <v>2100</v>
      </c>
      <c r="H55" t="s">
        <v>12</v>
      </c>
      <c r="I55" t="b">
        <v>0</v>
      </c>
      <c r="J55" t="b">
        <v>0</v>
      </c>
      <c r="O55" s="1"/>
    </row>
    <row r="56" spans="1:15" x14ac:dyDescent="0.3">
      <c r="A56" t="s">
        <v>24</v>
      </c>
      <c r="B56" s="1">
        <v>44807</v>
      </c>
      <c r="C56" t="s">
        <v>11</v>
      </c>
      <c r="D56" s="2">
        <v>289000</v>
      </c>
      <c r="E56">
        <v>3</v>
      </c>
      <c r="F56">
        <v>3</v>
      </c>
      <c r="G56" s="3">
        <v>2100</v>
      </c>
      <c r="H56" t="s">
        <v>15</v>
      </c>
      <c r="I56" t="b">
        <v>1</v>
      </c>
      <c r="J56" t="b">
        <v>0</v>
      </c>
      <c r="O56" s="1"/>
    </row>
    <row r="57" spans="1:15" x14ac:dyDescent="0.3">
      <c r="A57" t="s">
        <v>25</v>
      </c>
      <c r="B57" s="1">
        <v>44666</v>
      </c>
      <c r="C57" t="s">
        <v>28</v>
      </c>
      <c r="D57" s="2">
        <v>289000</v>
      </c>
      <c r="E57">
        <v>2</v>
      </c>
      <c r="F57">
        <v>2</v>
      </c>
      <c r="G57" s="3">
        <v>2100</v>
      </c>
      <c r="H57" t="s">
        <v>18</v>
      </c>
      <c r="I57" t="b">
        <v>0</v>
      </c>
      <c r="J57" t="b">
        <v>0</v>
      </c>
    </row>
    <row r="58" spans="1:15" x14ac:dyDescent="0.3">
      <c r="A58" t="s">
        <v>25</v>
      </c>
      <c r="B58" s="1">
        <v>44583</v>
      </c>
      <c r="C58" t="s">
        <v>27</v>
      </c>
      <c r="D58" s="2">
        <v>295000</v>
      </c>
      <c r="E58">
        <v>4</v>
      </c>
      <c r="F58">
        <v>3.5</v>
      </c>
      <c r="G58" s="3">
        <v>2100</v>
      </c>
      <c r="H58" t="s">
        <v>18</v>
      </c>
      <c r="I58" t="b">
        <v>1</v>
      </c>
      <c r="J58" t="b">
        <v>1</v>
      </c>
    </row>
    <row r="59" spans="1:15" x14ac:dyDescent="0.3">
      <c r="A59" t="s">
        <v>23</v>
      </c>
      <c r="B59" s="1">
        <v>44900</v>
      </c>
      <c r="C59" t="s">
        <v>11</v>
      </c>
      <c r="D59" s="2">
        <v>281000</v>
      </c>
      <c r="E59">
        <v>2</v>
      </c>
      <c r="F59">
        <v>3</v>
      </c>
      <c r="G59" s="3">
        <v>2000</v>
      </c>
      <c r="H59" t="s">
        <v>20</v>
      </c>
      <c r="I59" t="b">
        <v>1</v>
      </c>
      <c r="J59" t="b">
        <v>0</v>
      </c>
    </row>
    <row r="60" spans="1:15" x14ac:dyDescent="0.3">
      <c r="A60" t="s">
        <v>24</v>
      </c>
      <c r="B60" s="1">
        <v>44883</v>
      </c>
      <c r="C60" t="s">
        <v>11</v>
      </c>
      <c r="D60" s="2">
        <v>275000</v>
      </c>
      <c r="E60">
        <v>3</v>
      </c>
      <c r="F60">
        <v>2</v>
      </c>
      <c r="G60" s="3">
        <v>2000</v>
      </c>
      <c r="H60" t="s">
        <v>12</v>
      </c>
      <c r="I60" t="b">
        <v>1</v>
      </c>
      <c r="J60" t="b">
        <v>1</v>
      </c>
    </row>
    <row r="61" spans="1:15" x14ac:dyDescent="0.3">
      <c r="A61" t="s">
        <v>24</v>
      </c>
      <c r="B61" s="1">
        <v>44794</v>
      </c>
      <c r="C61" t="s">
        <v>28</v>
      </c>
      <c r="D61" s="2">
        <v>280000</v>
      </c>
      <c r="E61">
        <v>4</v>
      </c>
      <c r="F61">
        <v>2</v>
      </c>
      <c r="G61" s="3">
        <v>2000</v>
      </c>
      <c r="H61" t="s">
        <v>12</v>
      </c>
      <c r="I61" t="b">
        <v>0</v>
      </c>
      <c r="J61" t="b">
        <v>0</v>
      </c>
    </row>
    <row r="62" spans="1:15" x14ac:dyDescent="0.3">
      <c r="A62" t="s">
        <v>25</v>
      </c>
      <c r="B62" s="1">
        <v>44702</v>
      </c>
      <c r="C62" t="s">
        <v>14</v>
      </c>
      <c r="D62" s="2">
        <v>282000</v>
      </c>
      <c r="E62">
        <v>2</v>
      </c>
      <c r="F62">
        <v>3</v>
      </c>
      <c r="G62" s="3">
        <v>2000</v>
      </c>
      <c r="H62" t="s">
        <v>18</v>
      </c>
      <c r="I62" t="b">
        <v>0</v>
      </c>
      <c r="J62" t="b">
        <v>0</v>
      </c>
    </row>
    <row r="63" spans="1:15" x14ac:dyDescent="0.3">
      <c r="A63" t="s">
        <v>22</v>
      </c>
      <c r="B63" s="1">
        <v>44657</v>
      </c>
      <c r="C63" t="s">
        <v>14</v>
      </c>
      <c r="D63" s="2">
        <v>273000</v>
      </c>
      <c r="E63">
        <v>3</v>
      </c>
      <c r="F63">
        <v>2.5</v>
      </c>
      <c r="G63" s="3">
        <v>2000</v>
      </c>
      <c r="H63" t="s">
        <v>18</v>
      </c>
      <c r="I63" t="b">
        <v>1</v>
      </c>
      <c r="J63" t="b">
        <v>0</v>
      </c>
    </row>
    <row r="64" spans="1:15" x14ac:dyDescent="0.3">
      <c r="A64" t="s">
        <v>19</v>
      </c>
      <c r="B64" s="1">
        <v>44635</v>
      </c>
      <c r="C64" t="s">
        <v>28</v>
      </c>
      <c r="D64" s="2">
        <v>286000</v>
      </c>
      <c r="E64">
        <v>4</v>
      </c>
      <c r="F64">
        <v>3</v>
      </c>
      <c r="G64" s="3">
        <v>2000</v>
      </c>
      <c r="H64" t="s">
        <v>20</v>
      </c>
      <c r="I64" t="b">
        <v>1</v>
      </c>
      <c r="J64" t="b">
        <v>1</v>
      </c>
    </row>
    <row r="65" spans="1:10" x14ac:dyDescent="0.3">
      <c r="A65" t="s">
        <v>31</v>
      </c>
      <c r="B65" s="1">
        <v>44859</v>
      </c>
      <c r="C65" t="s">
        <v>28</v>
      </c>
      <c r="D65" s="2">
        <v>268000</v>
      </c>
      <c r="E65">
        <v>3</v>
      </c>
      <c r="F65">
        <v>2</v>
      </c>
      <c r="G65" s="3">
        <v>1900</v>
      </c>
      <c r="H65" t="s">
        <v>12</v>
      </c>
      <c r="I65" t="b">
        <v>1</v>
      </c>
      <c r="J65" t="b">
        <v>0</v>
      </c>
    </row>
    <row r="66" spans="1:10" x14ac:dyDescent="0.3">
      <c r="A66" t="s">
        <v>26</v>
      </c>
      <c r="B66" s="1">
        <v>44701</v>
      </c>
      <c r="C66" t="s">
        <v>28</v>
      </c>
      <c r="D66" s="2">
        <v>272000</v>
      </c>
      <c r="E66">
        <v>3</v>
      </c>
      <c r="F66">
        <v>3</v>
      </c>
      <c r="G66" s="3">
        <v>1900</v>
      </c>
      <c r="H66" t="s">
        <v>12</v>
      </c>
      <c r="I66" t="b">
        <v>1</v>
      </c>
      <c r="J66" t="b">
        <v>0</v>
      </c>
    </row>
    <row r="67" spans="1:10" x14ac:dyDescent="0.3">
      <c r="A67" t="s">
        <v>16</v>
      </c>
      <c r="B67" s="1">
        <v>44629</v>
      </c>
      <c r="C67" t="s">
        <v>14</v>
      </c>
      <c r="D67" s="2">
        <v>264000</v>
      </c>
      <c r="E67">
        <v>3</v>
      </c>
      <c r="F67">
        <v>3</v>
      </c>
      <c r="G67" s="3">
        <v>1900</v>
      </c>
      <c r="H67" t="s">
        <v>12</v>
      </c>
      <c r="I67" t="b">
        <v>1</v>
      </c>
      <c r="J67" t="b">
        <v>0</v>
      </c>
    </row>
    <row r="68" spans="1:10" x14ac:dyDescent="0.3">
      <c r="A68" t="s">
        <v>25</v>
      </c>
      <c r="B68" s="1">
        <v>44580</v>
      </c>
      <c r="C68" t="s">
        <v>11</v>
      </c>
      <c r="D68" s="2">
        <v>271000</v>
      </c>
      <c r="E68">
        <v>2</v>
      </c>
      <c r="F68">
        <v>3</v>
      </c>
      <c r="G68" s="3">
        <v>1900</v>
      </c>
      <c r="H68" t="s">
        <v>12</v>
      </c>
      <c r="I68" t="b">
        <v>0</v>
      </c>
      <c r="J68" t="b">
        <v>1</v>
      </c>
    </row>
    <row r="69" spans="1:10" x14ac:dyDescent="0.3">
      <c r="A69" t="s">
        <v>13</v>
      </c>
      <c r="B69" s="1">
        <v>44899</v>
      </c>
      <c r="C69" t="s">
        <v>11</v>
      </c>
      <c r="D69" s="2">
        <v>251000</v>
      </c>
      <c r="E69">
        <v>3</v>
      </c>
      <c r="F69">
        <v>2.5</v>
      </c>
      <c r="G69" s="3">
        <v>1800</v>
      </c>
      <c r="H69" t="s">
        <v>15</v>
      </c>
      <c r="I69" t="b">
        <v>1</v>
      </c>
      <c r="J69" t="b">
        <v>1</v>
      </c>
    </row>
    <row r="70" spans="1:10" x14ac:dyDescent="0.3">
      <c r="A70" t="s">
        <v>25</v>
      </c>
      <c r="B70" s="1">
        <v>44838</v>
      </c>
      <c r="C70" t="s">
        <v>11</v>
      </c>
      <c r="D70" s="2">
        <v>258000</v>
      </c>
      <c r="E70">
        <v>2</v>
      </c>
      <c r="F70">
        <v>2.5</v>
      </c>
      <c r="G70" s="3">
        <v>1800</v>
      </c>
      <c r="H70" t="s">
        <v>15</v>
      </c>
      <c r="I70" t="b">
        <v>0</v>
      </c>
      <c r="J70" t="b">
        <v>1</v>
      </c>
    </row>
    <row r="71" spans="1:10" x14ac:dyDescent="0.3">
      <c r="A71" t="s">
        <v>17</v>
      </c>
      <c r="B71" s="1">
        <v>44726</v>
      </c>
      <c r="C71" t="s">
        <v>28</v>
      </c>
      <c r="D71" s="2">
        <v>251000</v>
      </c>
      <c r="E71">
        <v>3</v>
      </c>
      <c r="F71">
        <v>2</v>
      </c>
      <c r="G71" s="3">
        <v>1800</v>
      </c>
      <c r="H71" t="s">
        <v>15</v>
      </c>
      <c r="I71" t="b">
        <v>0</v>
      </c>
      <c r="J71" t="b">
        <v>1</v>
      </c>
    </row>
    <row r="72" spans="1:10" x14ac:dyDescent="0.3">
      <c r="A72" t="s">
        <v>22</v>
      </c>
      <c r="B72" s="1">
        <v>44679</v>
      </c>
      <c r="C72" t="s">
        <v>14</v>
      </c>
      <c r="D72" s="2">
        <v>252000</v>
      </c>
      <c r="E72">
        <v>4</v>
      </c>
      <c r="F72">
        <v>2</v>
      </c>
      <c r="G72" s="3">
        <v>1800</v>
      </c>
      <c r="H72" t="s">
        <v>15</v>
      </c>
      <c r="I72" t="b">
        <v>1</v>
      </c>
      <c r="J72" t="b">
        <v>0</v>
      </c>
    </row>
    <row r="73" spans="1:10" x14ac:dyDescent="0.3">
      <c r="A73" t="s">
        <v>29</v>
      </c>
      <c r="B73" s="1">
        <v>44597</v>
      </c>
      <c r="C73" t="s">
        <v>28</v>
      </c>
      <c r="D73" s="2">
        <v>246000</v>
      </c>
      <c r="E73">
        <v>3</v>
      </c>
      <c r="F73">
        <v>2.5</v>
      </c>
      <c r="G73" s="3">
        <v>1800</v>
      </c>
      <c r="H73" t="s">
        <v>12</v>
      </c>
      <c r="I73" t="b">
        <v>0</v>
      </c>
      <c r="J73" t="b">
        <v>1</v>
      </c>
    </row>
    <row r="74" spans="1:10" x14ac:dyDescent="0.3">
      <c r="A74" t="s">
        <v>21</v>
      </c>
      <c r="B74" s="1">
        <v>44845</v>
      </c>
      <c r="C74" t="s">
        <v>14</v>
      </c>
      <c r="D74" s="2">
        <v>244000</v>
      </c>
      <c r="E74">
        <v>2</v>
      </c>
      <c r="F74">
        <v>3</v>
      </c>
      <c r="G74" s="3">
        <v>1700</v>
      </c>
      <c r="H74" t="s">
        <v>12</v>
      </c>
      <c r="I74" t="b">
        <v>0</v>
      </c>
      <c r="J74" t="b">
        <v>0</v>
      </c>
    </row>
    <row r="75" spans="1:10" x14ac:dyDescent="0.3">
      <c r="A75" t="s">
        <v>29</v>
      </c>
      <c r="B75" s="1">
        <v>44814</v>
      </c>
      <c r="C75" t="s">
        <v>28</v>
      </c>
      <c r="D75" s="2">
        <v>232000</v>
      </c>
      <c r="E75">
        <v>3</v>
      </c>
      <c r="F75">
        <v>3</v>
      </c>
      <c r="G75" s="3">
        <v>1700</v>
      </c>
      <c r="H75" t="s">
        <v>18</v>
      </c>
      <c r="I75" t="b">
        <v>1</v>
      </c>
      <c r="J75" t="b">
        <v>0</v>
      </c>
    </row>
    <row r="76" spans="1:10" x14ac:dyDescent="0.3">
      <c r="A76" t="s">
        <v>21</v>
      </c>
      <c r="B76" s="1">
        <v>44916</v>
      </c>
      <c r="C76" t="s">
        <v>11</v>
      </c>
      <c r="D76" s="2">
        <v>225000</v>
      </c>
      <c r="E76">
        <v>3</v>
      </c>
      <c r="F76">
        <v>2.5</v>
      </c>
      <c r="G76" s="3">
        <v>1600</v>
      </c>
      <c r="H76" t="s">
        <v>12</v>
      </c>
      <c r="I76" t="b">
        <v>1</v>
      </c>
      <c r="J76" t="b">
        <v>0</v>
      </c>
    </row>
    <row r="77" spans="1:10" x14ac:dyDescent="0.3">
      <c r="A77" t="s">
        <v>10</v>
      </c>
      <c r="B77" s="1">
        <v>44662</v>
      </c>
      <c r="C77" t="s">
        <v>14</v>
      </c>
      <c r="D77" s="2">
        <v>222000</v>
      </c>
      <c r="E77">
        <v>2</v>
      </c>
      <c r="F77">
        <v>3</v>
      </c>
      <c r="G77" s="3">
        <v>1600</v>
      </c>
      <c r="H77" t="s">
        <v>15</v>
      </c>
      <c r="I77" t="b">
        <v>1</v>
      </c>
      <c r="J77" t="b">
        <v>0</v>
      </c>
    </row>
    <row r="78" spans="1:10" x14ac:dyDescent="0.3">
      <c r="A78" t="s">
        <v>31</v>
      </c>
      <c r="B78" s="1">
        <v>44670</v>
      </c>
      <c r="C78" t="s">
        <v>28</v>
      </c>
      <c r="D78" s="2">
        <v>205000</v>
      </c>
      <c r="E78">
        <v>4</v>
      </c>
      <c r="F78">
        <v>2</v>
      </c>
      <c r="G78" s="3">
        <v>1500</v>
      </c>
      <c r="H78" t="s">
        <v>20</v>
      </c>
      <c r="I78" t="b">
        <v>1</v>
      </c>
      <c r="J78" t="b">
        <v>1</v>
      </c>
    </row>
    <row r="79" spans="1:10" x14ac:dyDescent="0.3">
      <c r="A79" t="s">
        <v>22</v>
      </c>
      <c r="B79" s="1">
        <v>44566</v>
      </c>
      <c r="C79" t="s">
        <v>28</v>
      </c>
      <c r="D79" s="2">
        <v>204000</v>
      </c>
      <c r="E79">
        <v>2</v>
      </c>
      <c r="F79">
        <v>3</v>
      </c>
      <c r="G79" s="3">
        <v>1500</v>
      </c>
      <c r="H79" t="s">
        <v>20</v>
      </c>
      <c r="I79" t="b">
        <v>1</v>
      </c>
      <c r="J79" t="b">
        <v>1</v>
      </c>
    </row>
    <row r="80" spans="1:10" x14ac:dyDescent="0.3">
      <c r="A80" t="s">
        <v>17</v>
      </c>
      <c r="B80" s="1">
        <v>44564</v>
      </c>
      <c r="C80" t="s">
        <v>11</v>
      </c>
      <c r="D80" s="2">
        <v>215000</v>
      </c>
      <c r="E80">
        <v>3</v>
      </c>
      <c r="F80">
        <v>2.5</v>
      </c>
      <c r="G80" s="3">
        <v>1500</v>
      </c>
      <c r="H80" t="s">
        <v>20</v>
      </c>
      <c r="I80" t="b">
        <v>0</v>
      </c>
      <c r="J80" t="b">
        <v>1</v>
      </c>
    </row>
  </sheetData>
  <autoFilter ref="A1:J80" xr:uid="{A895263E-0B34-496C-B64E-3019BD977F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68B5-18EF-419A-8083-391363BBCA02}">
  <dimension ref="A1:D31"/>
  <sheetViews>
    <sheetView workbookViewId="0">
      <selection activeCell="B2" sqref="B1:B1048576"/>
    </sheetView>
  </sheetViews>
  <sheetFormatPr defaultColWidth="11.5546875" defaultRowHeight="14.4" x14ac:dyDescent="0.3"/>
  <cols>
    <col min="2" max="2" width="12.5546875" bestFit="1" customWidth="1"/>
  </cols>
  <sheetData>
    <row r="1" spans="1:4" ht="21" x14ac:dyDescent="0.4">
      <c r="A1" s="16" t="s">
        <v>200</v>
      </c>
      <c r="B1" s="16"/>
      <c r="C1" s="16"/>
      <c r="D1" s="16"/>
    </row>
    <row r="2" spans="1:4" ht="18" x14ac:dyDescent="0.35">
      <c r="A2" s="5" t="s">
        <v>33</v>
      </c>
      <c r="B2" s="6" t="s">
        <v>201</v>
      </c>
      <c r="C2" s="6" t="s">
        <v>202</v>
      </c>
      <c r="D2" t="s">
        <v>34</v>
      </c>
    </row>
    <row r="3" spans="1:4" ht="15.6" x14ac:dyDescent="0.3">
      <c r="A3" s="7">
        <v>42371</v>
      </c>
      <c r="B3" s="8" t="s">
        <v>214</v>
      </c>
      <c r="C3" s="8">
        <v>943.6</v>
      </c>
      <c r="D3" s="9">
        <f>C3/$C$31</f>
        <v>5.6961414014584447E-2</v>
      </c>
    </row>
    <row r="4" spans="1:4" ht="15.6" x14ac:dyDescent="0.3">
      <c r="A4" s="7">
        <v>42371</v>
      </c>
      <c r="B4" s="8" t="s">
        <v>213</v>
      </c>
      <c r="C4" s="8">
        <v>299.60000000000002</v>
      </c>
      <c r="D4" s="9">
        <f t="shared" ref="D4:D30" si="0">C4/$C$31</f>
        <v>1.8085671512049067E-2</v>
      </c>
    </row>
    <row r="5" spans="1:4" ht="15.6" x14ac:dyDescent="0.3">
      <c r="A5" s="7">
        <v>42371</v>
      </c>
      <c r="B5" s="8" t="s">
        <v>35</v>
      </c>
      <c r="C5" s="8">
        <v>463.6</v>
      </c>
      <c r="D5" s="9">
        <f t="shared" si="0"/>
        <v>2.7985705317042552E-2</v>
      </c>
    </row>
    <row r="6" spans="1:4" ht="15.6" x14ac:dyDescent="0.3">
      <c r="A6" s="7">
        <v>42371</v>
      </c>
      <c r="B6" s="8" t="s">
        <v>215</v>
      </c>
      <c r="C6" s="8">
        <v>471.6</v>
      </c>
      <c r="D6" s="9">
        <f t="shared" si="0"/>
        <v>2.8468633795334916E-2</v>
      </c>
    </row>
    <row r="7" spans="1:4" ht="15.6" x14ac:dyDescent="0.3">
      <c r="A7" s="7">
        <v>42371</v>
      </c>
      <c r="B7" s="8" t="s">
        <v>213</v>
      </c>
      <c r="C7" s="8">
        <v>181.2</v>
      </c>
      <c r="D7" s="9">
        <f t="shared" si="0"/>
        <v>1.0938330033322065E-2</v>
      </c>
    </row>
    <row r="8" spans="1:4" ht="15.6" x14ac:dyDescent="0.3">
      <c r="A8" s="7">
        <v>42371</v>
      </c>
      <c r="B8" s="8" t="s">
        <v>213</v>
      </c>
      <c r="C8" s="8">
        <v>1266.4000000000001</v>
      </c>
      <c r="D8" s="9">
        <f t="shared" si="0"/>
        <v>7.6447578113681372E-2</v>
      </c>
    </row>
    <row r="9" spans="1:4" ht="15.6" x14ac:dyDescent="0.3">
      <c r="A9" s="7">
        <v>42371</v>
      </c>
      <c r="B9" s="8" t="s">
        <v>213</v>
      </c>
      <c r="C9" s="8">
        <v>898</v>
      </c>
      <c r="D9" s="9">
        <f t="shared" si="0"/>
        <v>5.4208721688317967E-2</v>
      </c>
    </row>
    <row r="10" spans="1:4" ht="15.6" x14ac:dyDescent="0.3">
      <c r="A10" s="7">
        <v>42372</v>
      </c>
      <c r="B10" s="8" t="s">
        <v>213</v>
      </c>
      <c r="C10" s="8">
        <v>865.6</v>
      </c>
      <c r="D10" s="9">
        <f t="shared" si="0"/>
        <v>5.2252861351233887E-2</v>
      </c>
    </row>
    <row r="11" spans="1:4" ht="15.6" x14ac:dyDescent="0.3">
      <c r="A11" s="7">
        <v>42372</v>
      </c>
      <c r="B11" s="8" t="s">
        <v>35</v>
      </c>
      <c r="C11" s="8">
        <v>1252.4000000000001</v>
      </c>
      <c r="D11" s="9">
        <f t="shared" si="0"/>
        <v>7.5602453276669743E-2</v>
      </c>
    </row>
    <row r="12" spans="1:4" ht="15.6" x14ac:dyDescent="0.3">
      <c r="A12" s="7">
        <v>42372</v>
      </c>
      <c r="B12" s="8" t="s">
        <v>216</v>
      </c>
      <c r="C12" s="8">
        <v>143.19999999999999</v>
      </c>
      <c r="D12" s="9">
        <f t="shared" si="0"/>
        <v>8.6444197614333317E-3</v>
      </c>
    </row>
    <row r="13" spans="1:4" ht="15.6" x14ac:dyDescent="0.3">
      <c r="A13" s="7">
        <v>42372</v>
      </c>
      <c r="B13" s="8" t="s">
        <v>215</v>
      </c>
      <c r="C13" s="8">
        <v>832.4</v>
      </c>
      <c r="D13" s="9">
        <f t="shared" si="0"/>
        <v>5.0248708166320571E-2</v>
      </c>
    </row>
    <row r="14" spans="1:4" ht="15.6" x14ac:dyDescent="0.3">
      <c r="A14" s="7">
        <v>42372</v>
      </c>
      <c r="B14" s="8" t="s">
        <v>213</v>
      </c>
      <c r="C14" s="8">
        <v>97.6</v>
      </c>
      <c r="D14" s="9">
        <f t="shared" si="0"/>
        <v>5.8917274351668516E-3</v>
      </c>
    </row>
    <row r="15" spans="1:4" ht="15.6" x14ac:dyDescent="0.3">
      <c r="A15" s="7">
        <v>42373</v>
      </c>
      <c r="B15" s="8" t="s">
        <v>214</v>
      </c>
      <c r="C15" s="8">
        <v>119.6</v>
      </c>
      <c r="D15" s="9">
        <f t="shared" si="0"/>
        <v>7.2197807504708559E-3</v>
      </c>
    </row>
    <row r="16" spans="1:4" ht="15.6" x14ac:dyDescent="0.3">
      <c r="A16" s="10" t="s">
        <v>203</v>
      </c>
      <c r="B16" s="10"/>
      <c r="C16" s="10"/>
      <c r="D16" s="10"/>
    </row>
    <row r="17" spans="1:4" ht="15.6" x14ac:dyDescent="0.3">
      <c r="A17" s="7">
        <v>42373</v>
      </c>
      <c r="B17" s="8" t="s">
        <v>216</v>
      </c>
      <c r="C17" s="8">
        <v>238.4</v>
      </c>
      <c r="D17" s="9">
        <f t="shared" si="0"/>
        <v>1.4391268653112476E-2</v>
      </c>
    </row>
    <row r="18" spans="1:4" ht="15.6" x14ac:dyDescent="0.3">
      <c r="A18" s="7">
        <v>42374</v>
      </c>
      <c r="B18" s="8" t="s">
        <v>213</v>
      </c>
      <c r="C18" s="8">
        <v>1158</v>
      </c>
      <c r="D18" s="9">
        <f t="shared" si="0"/>
        <v>6.9903897232819825E-2</v>
      </c>
    </row>
    <row r="19" spans="1:4" ht="15.6" x14ac:dyDescent="0.3">
      <c r="A19" s="7">
        <v>42374</v>
      </c>
      <c r="B19" s="8" t="s">
        <v>213</v>
      </c>
      <c r="C19" s="8">
        <v>544</v>
      </c>
      <c r="D19" s="9">
        <f t="shared" si="0"/>
        <v>3.2839136523880819E-2</v>
      </c>
    </row>
    <row r="20" spans="1:4" ht="15.6" x14ac:dyDescent="0.3">
      <c r="A20" s="7">
        <v>42376</v>
      </c>
      <c r="B20" s="8" t="s">
        <v>215</v>
      </c>
      <c r="C20" s="8">
        <v>1244</v>
      </c>
      <c r="D20" s="9">
        <f t="shared" si="0"/>
        <v>7.5095378374462743E-2</v>
      </c>
    </row>
    <row r="21" spans="1:4" ht="15.6" x14ac:dyDescent="0.3">
      <c r="A21" s="7">
        <v>42376</v>
      </c>
      <c r="B21" s="8" t="s">
        <v>213</v>
      </c>
      <c r="C21" s="8">
        <v>849.6</v>
      </c>
      <c r="D21" s="9">
        <f t="shared" si="0"/>
        <v>5.1287004394649158E-2</v>
      </c>
    </row>
    <row r="22" spans="1:4" ht="15.6" x14ac:dyDescent="0.3">
      <c r="A22" s="7">
        <v>42376</v>
      </c>
      <c r="B22" s="8" t="s">
        <v>213</v>
      </c>
      <c r="C22" s="8">
        <v>94</v>
      </c>
      <c r="D22" s="9">
        <f t="shared" si="0"/>
        <v>5.6744096199352881E-3</v>
      </c>
    </row>
    <row r="23" spans="1:4" ht="15.6" x14ac:dyDescent="0.3">
      <c r="A23" s="7">
        <v>42376</v>
      </c>
      <c r="B23" s="8" t="s">
        <v>216</v>
      </c>
      <c r="C23" s="8">
        <v>1310.8</v>
      </c>
      <c r="D23" s="9">
        <f t="shared" si="0"/>
        <v>7.9127831168203988E-2</v>
      </c>
    </row>
    <row r="24" spans="1:4" ht="15.6" x14ac:dyDescent="0.3">
      <c r="A24" s="7">
        <v>42378</v>
      </c>
      <c r="B24" s="8" t="s">
        <v>215</v>
      </c>
      <c r="C24" s="8">
        <v>704</v>
      </c>
      <c r="D24" s="9">
        <f t="shared" si="0"/>
        <v>4.2497706089728117E-2</v>
      </c>
    </row>
    <row r="25" spans="1:4" ht="15.6" x14ac:dyDescent="0.3">
      <c r="A25" s="7">
        <v>42379</v>
      </c>
      <c r="B25" s="8" t="s">
        <v>213</v>
      </c>
      <c r="C25" s="8">
        <v>214.4</v>
      </c>
      <c r="D25" s="9">
        <f t="shared" si="0"/>
        <v>1.2942483218235381E-2</v>
      </c>
    </row>
    <row r="26" spans="1:4" ht="15.6" x14ac:dyDescent="0.3">
      <c r="A26" s="7">
        <v>42380</v>
      </c>
      <c r="B26" s="8" t="s">
        <v>214</v>
      </c>
      <c r="C26" s="8">
        <v>300.39999999999998</v>
      </c>
      <c r="D26" s="9">
        <f t="shared" si="0"/>
        <v>1.8133964359878303E-2</v>
      </c>
    </row>
    <row r="27" spans="1:4" ht="15.6" x14ac:dyDescent="0.3">
      <c r="A27" s="7">
        <v>42380</v>
      </c>
      <c r="B27" s="8" t="s">
        <v>214</v>
      </c>
      <c r="C27" s="8">
        <v>144.80000000000001</v>
      </c>
      <c r="D27" s="9">
        <f t="shared" si="0"/>
        <v>8.7410054570918067E-3</v>
      </c>
    </row>
    <row r="28" spans="1:4" ht="15.6" x14ac:dyDescent="0.3">
      <c r="A28" s="7">
        <v>42380</v>
      </c>
      <c r="B28" s="8" t="s">
        <v>216</v>
      </c>
      <c r="C28" s="8">
        <v>348.4</v>
      </c>
      <c r="D28" s="9">
        <f t="shared" si="0"/>
        <v>2.1031535229632491E-2</v>
      </c>
    </row>
    <row r="29" spans="1:4" ht="15.6" x14ac:dyDescent="0.3">
      <c r="A29" s="7">
        <v>42381</v>
      </c>
      <c r="B29" s="8" t="s">
        <v>213</v>
      </c>
      <c r="C29" s="8">
        <v>390.4</v>
      </c>
      <c r="D29" s="9">
        <f t="shared" si="0"/>
        <v>2.3566909740667406E-2</v>
      </c>
    </row>
    <row r="30" spans="1:4" ht="15.6" x14ac:dyDescent="0.3">
      <c r="A30" s="7">
        <v>42381</v>
      </c>
      <c r="B30" s="8" t="s">
        <v>35</v>
      </c>
      <c r="C30" s="8">
        <v>1189.5999999999999</v>
      </c>
      <c r="D30" s="9">
        <f t="shared" si="0"/>
        <v>7.1811464722074655E-2</v>
      </c>
    </row>
    <row r="31" spans="1:4" ht="15.6" x14ac:dyDescent="0.3">
      <c r="A31" s="7"/>
      <c r="B31" s="8" t="s">
        <v>36</v>
      </c>
      <c r="C31" s="8">
        <f>SUM(C3:C30)</f>
        <v>16565.599999999999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86B2-A8B9-4E43-88E9-84389C38515D}">
  <dimension ref="A1:F141"/>
  <sheetViews>
    <sheetView workbookViewId="0">
      <selection sqref="A1:F141"/>
    </sheetView>
  </sheetViews>
  <sheetFormatPr defaultRowHeight="14.4" x14ac:dyDescent="0.3"/>
  <sheetData>
    <row r="1" spans="1:6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">
      <c r="A2">
        <v>1</v>
      </c>
      <c r="B2" t="s">
        <v>180</v>
      </c>
      <c r="C2" t="s">
        <v>47</v>
      </c>
      <c r="D2">
        <v>99</v>
      </c>
      <c r="E2">
        <v>261</v>
      </c>
      <c r="F2">
        <v>1539969</v>
      </c>
    </row>
    <row r="3" spans="1:6" x14ac:dyDescent="0.3">
      <c r="A3">
        <v>1</v>
      </c>
      <c r="B3" t="s">
        <v>181</v>
      </c>
      <c r="C3" t="s">
        <v>48</v>
      </c>
      <c r="D3">
        <v>171</v>
      </c>
      <c r="E3">
        <v>259</v>
      </c>
      <c r="F3">
        <v>1543549</v>
      </c>
    </row>
    <row r="4" spans="1:6" x14ac:dyDescent="0.3">
      <c r="A4">
        <v>1</v>
      </c>
      <c r="B4" t="s">
        <v>182</v>
      </c>
      <c r="C4" t="s">
        <v>49</v>
      </c>
      <c r="D4">
        <v>98</v>
      </c>
      <c r="E4">
        <v>283</v>
      </c>
      <c r="F4">
        <v>1536045</v>
      </c>
    </row>
    <row r="5" spans="1:6" x14ac:dyDescent="0.3">
      <c r="A5">
        <v>1</v>
      </c>
      <c r="B5" t="s">
        <v>183</v>
      </c>
      <c r="C5" t="s">
        <v>50</v>
      </c>
      <c r="D5">
        <v>122</v>
      </c>
      <c r="E5">
        <v>45</v>
      </c>
      <c r="F5">
        <v>1537325</v>
      </c>
    </row>
    <row r="6" spans="1:6" x14ac:dyDescent="0.3">
      <c r="A6">
        <v>1</v>
      </c>
      <c r="B6" t="s">
        <v>184</v>
      </c>
      <c r="C6" t="s">
        <v>51</v>
      </c>
      <c r="D6">
        <v>80</v>
      </c>
      <c r="E6">
        <v>179</v>
      </c>
      <c r="F6">
        <v>1548817</v>
      </c>
    </row>
    <row r="7" spans="1:6" x14ac:dyDescent="0.3">
      <c r="A7">
        <v>1</v>
      </c>
      <c r="B7" t="s">
        <v>184</v>
      </c>
      <c r="C7" t="s">
        <v>52</v>
      </c>
      <c r="D7">
        <v>72</v>
      </c>
      <c r="E7">
        <v>295</v>
      </c>
      <c r="F7">
        <v>1543963</v>
      </c>
    </row>
    <row r="8" spans="1:6" x14ac:dyDescent="0.3">
      <c r="A8">
        <v>1</v>
      </c>
      <c r="B8" t="s">
        <v>185</v>
      </c>
      <c r="C8" t="s">
        <v>53</v>
      </c>
      <c r="D8">
        <v>31</v>
      </c>
      <c r="E8">
        <v>328</v>
      </c>
      <c r="F8">
        <v>1540305</v>
      </c>
    </row>
    <row r="9" spans="1:6" x14ac:dyDescent="0.3">
      <c r="A9">
        <v>1</v>
      </c>
      <c r="B9" t="s">
        <v>186</v>
      </c>
      <c r="C9" t="s">
        <v>54</v>
      </c>
      <c r="D9">
        <v>5</v>
      </c>
      <c r="E9">
        <v>92</v>
      </c>
      <c r="F9">
        <v>1540353</v>
      </c>
    </row>
    <row r="10" spans="1:6" x14ac:dyDescent="0.3">
      <c r="A10">
        <v>1</v>
      </c>
      <c r="B10" t="s">
        <v>187</v>
      </c>
      <c r="C10" t="s">
        <v>55</v>
      </c>
      <c r="D10">
        <v>5</v>
      </c>
      <c r="E10">
        <v>17</v>
      </c>
    </row>
    <row r="11" spans="1:6" x14ac:dyDescent="0.3">
      <c r="A11">
        <v>1</v>
      </c>
      <c r="B11" t="s">
        <v>188</v>
      </c>
      <c r="C11" t="s">
        <v>56</v>
      </c>
      <c r="D11">
        <v>104</v>
      </c>
      <c r="E11">
        <v>18</v>
      </c>
      <c r="F11">
        <v>1551061</v>
      </c>
    </row>
    <row r="12" spans="1:6" x14ac:dyDescent="0.3">
      <c r="A12">
        <v>1</v>
      </c>
      <c r="B12" t="s">
        <v>186</v>
      </c>
      <c r="C12" t="s">
        <v>57</v>
      </c>
      <c r="D12">
        <v>77</v>
      </c>
      <c r="E12">
        <v>236</v>
      </c>
      <c r="F12">
        <v>1544218</v>
      </c>
    </row>
    <row r="13" spans="1:6" x14ac:dyDescent="0.3">
      <c r="A13">
        <v>1</v>
      </c>
      <c r="B13" t="s">
        <v>189</v>
      </c>
      <c r="C13" t="s">
        <v>58</v>
      </c>
      <c r="D13">
        <v>98</v>
      </c>
      <c r="E13">
        <v>316</v>
      </c>
      <c r="F13">
        <v>1544897</v>
      </c>
    </row>
    <row r="14" spans="1:6" x14ac:dyDescent="0.3">
      <c r="A14">
        <v>1</v>
      </c>
      <c r="B14" t="s">
        <v>190</v>
      </c>
      <c r="C14" t="s">
        <v>59</v>
      </c>
      <c r="D14">
        <v>98</v>
      </c>
      <c r="E14">
        <v>313</v>
      </c>
      <c r="F14">
        <v>1544928</v>
      </c>
    </row>
    <row r="15" spans="1:6" x14ac:dyDescent="0.3">
      <c r="A15">
        <v>1</v>
      </c>
      <c r="B15" t="s">
        <v>182</v>
      </c>
      <c r="C15" t="s">
        <v>60</v>
      </c>
      <c r="D15">
        <v>80</v>
      </c>
      <c r="E15">
        <v>311</v>
      </c>
      <c r="F15">
        <v>1551443</v>
      </c>
    </row>
    <row r="16" spans="1:6" x14ac:dyDescent="0.3">
      <c r="A16">
        <v>1</v>
      </c>
      <c r="B16" t="s">
        <v>182</v>
      </c>
      <c r="C16" t="s">
        <v>61</v>
      </c>
      <c r="D16">
        <v>80</v>
      </c>
      <c r="E16">
        <v>329</v>
      </c>
    </row>
    <row r="17" spans="1:6" x14ac:dyDescent="0.3">
      <c r="A17">
        <v>1</v>
      </c>
      <c r="B17" t="s">
        <v>191</v>
      </c>
      <c r="C17" t="s">
        <v>62</v>
      </c>
      <c r="D17">
        <v>99</v>
      </c>
      <c r="E17">
        <v>91</v>
      </c>
      <c r="F17">
        <v>1555098</v>
      </c>
    </row>
    <row r="18" spans="1:6" x14ac:dyDescent="0.3">
      <c r="A18">
        <v>1</v>
      </c>
      <c r="B18" t="s">
        <v>189</v>
      </c>
      <c r="C18" t="s">
        <v>63</v>
      </c>
      <c r="D18">
        <v>128</v>
      </c>
      <c r="E18">
        <v>30</v>
      </c>
      <c r="F18">
        <v>1555372</v>
      </c>
    </row>
    <row r="19" spans="1:6" x14ac:dyDescent="0.3">
      <c r="A19">
        <v>1</v>
      </c>
      <c r="B19" t="s">
        <v>189</v>
      </c>
      <c r="C19" t="s">
        <v>64</v>
      </c>
      <c r="D19">
        <v>54</v>
      </c>
      <c r="E19">
        <v>83</v>
      </c>
      <c r="F19">
        <v>1555537</v>
      </c>
    </row>
    <row r="20" spans="1:6" x14ac:dyDescent="0.3">
      <c r="A20">
        <v>1</v>
      </c>
      <c r="B20" t="s">
        <v>190</v>
      </c>
      <c r="C20" t="s">
        <v>65</v>
      </c>
      <c r="D20">
        <v>216</v>
      </c>
      <c r="E20">
        <v>81</v>
      </c>
      <c r="F20">
        <v>1556045</v>
      </c>
    </row>
    <row r="21" spans="1:6" x14ac:dyDescent="0.3">
      <c r="A21">
        <v>1</v>
      </c>
      <c r="B21" t="s">
        <v>182</v>
      </c>
      <c r="C21" t="s">
        <v>66</v>
      </c>
      <c r="D21">
        <v>216</v>
      </c>
      <c r="E21">
        <v>82</v>
      </c>
      <c r="F21">
        <v>1556049</v>
      </c>
    </row>
    <row r="22" spans="1:6" x14ac:dyDescent="0.3">
      <c r="A22">
        <v>1</v>
      </c>
      <c r="B22" t="s">
        <v>186</v>
      </c>
      <c r="C22" t="s">
        <v>67</v>
      </c>
      <c r="D22">
        <v>216</v>
      </c>
      <c r="E22">
        <v>84</v>
      </c>
      <c r="F22">
        <v>1556797</v>
      </c>
    </row>
    <row r="23" spans="1:6" x14ac:dyDescent="0.3">
      <c r="A23">
        <v>1</v>
      </c>
      <c r="B23" t="s">
        <v>186</v>
      </c>
      <c r="C23" t="s">
        <v>68</v>
      </c>
      <c r="D23">
        <v>216</v>
      </c>
      <c r="E23">
        <v>86</v>
      </c>
      <c r="F23">
        <v>1556860</v>
      </c>
    </row>
    <row r="24" spans="1:6" x14ac:dyDescent="0.3">
      <c r="A24">
        <v>1</v>
      </c>
      <c r="B24" t="s">
        <v>182</v>
      </c>
      <c r="C24" t="s">
        <v>69</v>
      </c>
      <c r="D24">
        <v>216</v>
      </c>
      <c r="E24">
        <v>87</v>
      </c>
      <c r="F24">
        <v>1556869</v>
      </c>
    </row>
    <row r="25" spans="1:6" x14ac:dyDescent="0.3">
      <c r="A25">
        <v>1</v>
      </c>
      <c r="B25" t="s">
        <v>186</v>
      </c>
      <c r="C25" t="s">
        <v>70</v>
      </c>
      <c r="D25">
        <v>33</v>
      </c>
      <c r="E25">
        <v>327</v>
      </c>
      <c r="F25">
        <v>1556873</v>
      </c>
    </row>
    <row r="26" spans="1:6" x14ac:dyDescent="0.3">
      <c r="A26">
        <v>1</v>
      </c>
      <c r="B26" t="s">
        <v>190</v>
      </c>
      <c r="C26" t="s">
        <v>71</v>
      </c>
      <c r="D26">
        <v>33</v>
      </c>
      <c r="E26">
        <v>315</v>
      </c>
      <c r="F26">
        <v>1559471</v>
      </c>
    </row>
    <row r="27" spans="1:6" x14ac:dyDescent="0.3">
      <c r="A27">
        <v>1</v>
      </c>
      <c r="B27" t="s">
        <v>182</v>
      </c>
      <c r="C27" t="s">
        <v>72</v>
      </c>
      <c r="D27">
        <v>216</v>
      </c>
      <c r="E27">
        <v>326</v>
      </c>
      <c r="F27">
        <v>1562164</v>
      </c>
    </row>
    <row r="28" spans="1:6" x14ac:dyDescent="0.3">
      <c r="A28">
        <v>1</v>
      </c>
      <c r="B28" t="s">
        <v>189</v>
      </c>
      <c r="C28" t="s">
        <v>73</v>
      </c>
      <c r="D28">
        <v>164</v>
      </c>
      <c r="E28">
        <v>235</v>
      </c>
      <c r="F28">
        <v>1563327</v>
      </c>
    </row>
    <row r="29" spans="1:6" x14ac:dyDescent="0.3">
      <c r="A29">
        <v>1</v>
      </c>
      <c r="B29" t="s">
        <v>189</v>
      </c>
      <c r="C29" t="s">
        <v>74</v>
      </c>
      <c r="D29">
        <v>212</v>
      </c>
      <c r="E29">
        <v>85</v>
      </c>
    </row>
    <row r="30" spans="1:6" x14ac:dyDescent="0.3">
      <c r="A30">
        <v>1</v>
      </c>
      <c r="B30" t="s">
        <v>186</v>
      </c>
      <c r="C30" t="s">
        <v>75</v>
      </c>
      <c r="D30">
        <v>14</v>
      </c>
      <c r="E30">
        <v>206</v>
      </c>
      <c r="F30">
        <v>1566437</v>
      </c>
    </row>
    <row r="31" spans="1:6" x14ac:dyDescent="0.3">
      <c r="A31">
        <v>1</v>
      </c>
      <c r="B31" t="s">
        <v>192</v>
      </c>
      <c r="C31" t="s">
        <v>76</v>
      </c>
      <c r="D31">
        <v>216</v>
      </c>
      <c r="E31">
        <v>169</v>
      </c>
      <c r="F31">
        <v>1566997</v>
      </c>
    </row>
    <row r="32" spans="1:6" x14ac:dyDescent="0.3">
      <c r="A32">
        <v>1</v>
      </c>
      <c r="B32" t="s">
        <v>188</v>
      </c>
      <c r="C32" t="s">
        <v>77</v>
      </c>
      <c r="D32">
        <v>72</v>
      </c>
      <c r="E32">
        <v>238</v>
      </c>
      <c r="F32">
        <v>1567361</v>
      </c>
    </row>
    <row r="33" spans="1:6" x14ac:dyDescent="0.3">
      <c r="A33">
        <v>1</v>
      </c>
      <c r="B33" t="s">
        <v>188</v>
      </c>
      <c r="C33" t="s">
        <v>78</v>
      </c>
      <c r="D33">
        <v>194</v>
      </c>
      <c r="E33">
        <v>34</v>
      </c>
      <c r="F33">
        <v>1569203</v>
      </c>
    </row>
    <row r="34" spans="1:6" x14ac:dyDescent="0.3">
      <c r="A34">
        <v>1</v>
      </c>
      <c r="B34" t="s">
        <v>191</v>
      </c>
      <c r="C34" t="s">
        <v>79</v>
      </c>
      <c r="D34">
        <v>54</v>
      </c>
      <c r="E34">
        <v>317</v>
      </c>
      <c r="F34">
        <v>1571506</v>
      </c>
    </row>
    <row r="35" spans="1:6" x14ac:dyDescent="0.3">
      <c r="A35">
        <v>1</v>
      </c>
      <c r="B35" t="s">
        <v>187</v>
      </c>
      <c r="C35" t="s">
        <v>80</v>
      </c>
      <c r="D35">
        <v>212</v>
      </c>
      <c r="E35">
        <v>56</v>
      </c>
      <c r="F35">
        <v>1571559</v>
      </c>
    </row>
    <row r="36" spans="1:6" x14ac:dyDescent="0.3">
      <c r="A36">
        <v>1</v>
      </c>
      <c r="B36" t="s">
        <v>186</v>
      </c>
      <c r="C36" t="s">
        <v>81</v>
      </c>
      <c r="D36">
        <v>93</v>
      </c>
      <c r="E36">
        <v>286</v>
      </c>
      <c r="F36">
        <v>1572318</v>
      </c>
    </row>
    <row r="37" spans="1:6" x14ac:dyDescent="0.3">
      <c r="A37">
        <v>1</v>
      </c>
      <c r="B37" t="s">
        <v>184</v>
      </c>
      <c r="C37" t="s">
        <v>82</v>
      </c>
      <c r="D37">
        <v>194</v>
      </c>
      <c r="E37">
        <v>241</v>
      </c>
    </row>
    <row r="38" spans="1:6" x14ac:dyDescent="0.3">
      <c r="A38">
        <v>1</v>
      </c>
      <c r="B38" t="s">
        <v>187</v>
      </c>
      <c r="C38" t="s">
        <v>82</v>
      </c>
      <c r="D38">
        <v>194</v>
      </c>
      <c r="E38">
        <v>240</v>
      </c>
      <c r="F38">
        <v>1572557</v>
      </c>
    </row>
    <row r="39" spans="1:6" x14ac:dyDescent="0.3">
      <c r="A39">
        <v>1</v>
      </c>
      <c r="B39" t="s">
        <v>183</v>
      </c>
      <c r="C39" t="s">
        <v>83</v>
      </c>
      <c r="D39">
        <v>151</v>
      </c>
      <c r="E39">
        <v>41</v>
      </c>
      <c r="F39">
        <v>1878353</v>
      </c>
    </row>
    <row r="40" spans="1:6" x14ac:dyDescent="0.3">
      <c r="A40">
        <v>1</v>
      </c>
      <c r="B40" t="s">
        <v>190</v>
      </c>
      <c r="C40" t="s">
        <v>84</v>
      </c>
      <c r="D40">
        <v>156</v>
      </c>
      <c r="E40">
        <v>40</v>
      </c>
      <c r="F40">
        <v>1878563</v>
      </c>
    </row>
    <row r="41" spans="1:6" x14ac:dyDescent="0.3">
      <c r="A41">
        <v>1</v>
      </c>
      <c r="B41" t="s">
        <v>182</v>
      </c>
      <c r="C41" t="s">
        <v>85</v>
      </c>
      <c r="D41">
        <v>151</v>
      </c>
      <c r="E41">
        <v>305</v>
      </c>
      <c r="F41">
        <v>1878625</v>
      </c>
    </row>
    <row r="42" spans="1:6" x14ac:dyDescent="0.3">
      <c r="A42">
        <v>1</v>
      </c>
      <c r="B42" t="s">
        <v>182</v>
      </c>
      <c r="C42" t="s">
        <v>86</v>
      </c>
      <c r="D42">
        <v>56</v>
      </c>
      <c r="E42">
        <v>102</v>
      </c>
      <c r="F42">
        <v>1878715</v>
      </c>
    </row>
    <row r="43" spans="1:6" x14ac:dyDescent="0.3">
      <c r="A43">
        <v>1</v>
      </c>
      <c r="B43" t="s">
        <v>186</v>
      </c>
      <c r="C43" t="s">
        <v>87</v>
      </c>
      <c r="D43">
        <v>56</v>
      </c>
      <c r="E43">
        <v>105</v>
      </c>
      <c r="F43">
        <v>1878716</v>
      </c>
    </row>
    <row r="44" spans="1:6" x14ac:dyDescent="0.3">
      <c r="A44">
        <v>1</v>
      </c>
      <c r="B44" t="s">
        <v>181</v>
      </c>
      <c r="C44" t="s">
        <v>88</v>
      </c>
      <c r="D44">
        <v>72</v>
      </c>
      <c r="E44">
        <v>98</v>
      </c>
      <c r="F44">
        <v>1880479</v>
      </c>
    </row>
    <row r="45" spans="1:6" x14ac:dyDescent="0.3">
      <c r="A45">
        <v>1</v>
      </c>
      <c r="B45" t="s">
        <v>190</v>
      </c>
      <c r="C45" t="s">
        <v>89</v>
      </c>
      <c r="D45">
        <v>216</v>
      </c>
      <c r="E45">
        <v>281</v>
      </c>
      <c r="F45">
        <v>1887714</v>
      </c>
    </row>
    <row r="46" spans="1:6" x14ac:dyDescent="0.3">
      <c r="A46">
        <v>1</v>
      </c>
      <c r="B46" t="s">
        <v>182</v>
      </c>
      <c r="C46" t="s">
        <v>90</v>
      </c>
      <c r="D46">
        <v>205</v>
      </c>
      <c r="E46">
        <v>90</v>
      </c>
      <c r="F46">
        <v>1887963</v>
      </c>
    </row>
    <row r="47" spans="1:6" x14ac:dyDescent="0.3">
      <c r="A47">
        <v>1</v>
      </c>
      <c r="B47" t="s">
        <v>188</v>
      </c>
      <c r="C47" t="s">
        <v>91</v>
      </c>
      <c r="D47">
        <v>57</v>
      </c>
      <c r="E47">
        <v>70</v>
      </c>
      <c r="F47">
        <v>1888993</v>
      </c>
    </row>
    <row r="48" spans="1:6" x14ac:dyDescent="0.3">
      <c r="A48">
        <v>1</v>
      </c>
      <c r="B48" t="s">
        <v>193</v>
      </c>
      <c r="C48" t="s">
        <v>92</v>
      </c>
      <c r="D48">
        <v>72</v>
      </c>
      <c r="E48">
        <v>181</v>
      </c>
      <c r="F48">
        <v>1891323</v>
      </c>
    </row>
    <row r="49" spans="1:6" x14ac:dyDescent="0.3">
      <c r="A49">
        <v>1</v>
      </c>
      <c r="B49" t="s">
        <v>188</v>
      </c>
      <c r="C49" t="s">
        <v>93</v>
      </c>
      <c r="D49">
        <v>113</v>
      </c>
      <c r="E49">
        <v>71</v>
      </c>
      <c r="F49">
        <v>1891498</v>
      </c>
    </row>
    <row r="50" spans="1:6" x14ac:dyDescent="0.3">
      <c r="A50">
        <v>1</v>
      </c>
      <c r="B50" t="s">
        <v>182</v>
      </c>
      <c r="C50" t="s">
        <v>94</v>
      </c>
      <c r="D50">
        <v>72</v>
      </c>
      <c r="E50">
        <v>287</v>
      </c>
      <c r="F50">
        <v>1893272</v>
      </c>
    </row>
    <row r="51" spans="1:6" x14ac:dyDescent="0.3">
      <c r="A51">
        <v>1</v>
      </c>
      <c r="B51" t="s">
        <v>181</v>
      </c>
      <c r="C51" t="s">
        <v>95</v>
      </c>
      <c r="D51">
        <v>113</v>
      </c>
      <c r="E51">
        <v>221</v>
      </c>
      <c r="F51">
        <v>1893845</v>
      </c>
    </row>
    <row r="52" spans="1:6" x14ac:dyDescent="0.3">
      <c r="A52">
        <v>1</v>
      </c>
      <c r="B52" t="s">
        <v>192</v>
      </c>
      <c r="C52" t="s">
        <v>96</v>
      </c>
      <c r="D52">
        <v>113</v>
      </c>
      <c r="E52">
        <v>223</v>
      </c>
      <c r="F52">
        <v>1893972</v>
      </c>
    </row>
    <row r="53" spans="1:6" x14ac:dyDescent="0.3">
      <c r="A53">
        <v>1</v>
      </c>
      <c r="B53" t="s">
        <v>183</v>
      </c>
      <c r="C53" t="s">
        <v>97</v>
      </c>
      <c r="D53">
        <v>113</v>
      </c>
      <c r="E53">
        <v>224</v>
      </c>
      <c r="F53">
        <v>1893995</v>
      </c>
    </row>
    <row r="54" spans="1:6" x14ac:dyDescent="0.3">
      <c r="A54">
        <v>1</v>
      </c>
      <c r="B54" t="s">
        <v>193</v>
      </c>
      <c r="C54" t="s">
        <v>98</v>
      </c>
      <c r="D54">
        <v>72</v>
      </c>
      <c r="E54">
        <v>115</v>
      </c>
      <c r="F54">
        <v>1895661</v>
      </c>
    </row>
    <row r="55" spans="1:6" x14ac:dyDescent="0.3">
      <c r="A55">
        <v>1</v>
      </c>
      <c r="B55" t="s">
        <v>192</v>
      </c>
      <c r="C55" t="s">
        <v>99</v>
      </c>
      <c r="D55">
        <v>72</v>
      </c>
      <c r="E55">
        <v>117</v>
      </c>
      <c r="F55">
        <v>1895672</v>
      </c>
    </row>
    <row r="56" spans="1:6" x14ac:dyDescent="0.3">
      <c r="A56">
        <v>1</v>
      </c>
      <c r="B56" t="s">
        <v>190</v>
      </c>
      <c r="C56" t="s">
        <v>100</v>
      </c>
      <c r="D56">
        <v>72</v>
      </c>
      <c r="E56">
        <v>126</v>
      </c>
      <c r="F56">
        <v>1895717</v>
      </c>
    </row>
    <row r="57" spans="1:6" x14ac:dyDescent="0.3">
      <c r="A57">
        <v>1</v>
      </c>
      <c r="B57" t="s">
        <v>186</v>
      </c>
      <c r="C57" t="s">
        <v>101</v>
      </c>
      <c r="D57">
        <v>82</v>
      </c>
      <c r="E57">
        <v>187</v>
      </c>
      <c r="F57">
        <v>1896230</v>
      </c>
    </row>
    <row r="58" spans="1:6" x14ac:dyDescent="0.3">
      <c r="A58">
        <v>1</v>
      </c>
      <c r="B58" t="s">
        <v>192</v>
      </c>
      <c r="C58" t="s">
        <v>102</v>
      </c>
      <c r="D58">
        <v>108</v>
      </c>
      <c r="E58">
        <v>151</v>
      </c>
      <c r="F58">
        <v>1896548</v>
      </c>
    </row>
    <row r="59" spans="1:6" x14ac:dyDescent="0.3">
      <c r="A59">
        <v>1</v>
      </c>
      <c r="B59" t="s">
        <v>194</v>
      </c>
      <c r="C59" t="s">
        <v>103</v>
      </c>
      <c r="D59">
        <v>108</v>
      </c>
      <c r="E59">
        <v>168</v>
      </c>
      <c r="F59">
        <v>1896735</v>
      </c>
    </row>
    <row r="60" spans="1:6" x14ac:dyDescent="0.3">
      <c r="A60">
        <v>1</v>
      </c>
      <c r="B60" t="s">
        <v>192</v>
      </c>
      <c r="C60" t="s">
        <v>104</v>
      </c>
      <c r="D60">
        <v>108</v>
      </c>
      <c r="E60">
        <v>176</v>
      </c>
      <c r="F60">
        <v>1896763</v>
      </c>
    </row>
    <row r="61" spans="1:6" x14ac:dyDescent="0.3">
      <c r="A61">
        <v>1</v>
      </c>
      <c r="B61" t="s">
        <v>180</v>
      </c>
      <c r="C61" t="s">
        <v>105</v>
      </c>
      <c r="D61">
        <v>108</v>
      </c>
      <c r="E61">
        <v>178</v>
      </c>
      <c r="F61">
        <v>1896765</v>
      </c>
    </row>
    <row r="62" spans="1:6" x14ac:dyDescent="0.3">
      <c r="A62">
        <v>1</v>
      </c>
      <c r="B62" t="s">
        <v>182</v>
      </c>
      <c r="C62" t="s">
        <v>106</v>
      </c>
      <c r="D62">
        <v>151</v>
      </c>
      <c r="E62">
        <v>27</v>
      </c>
      <c r="F62">
        <v>1898250</v>
      </c>
    </row>
    <row r="63" spans="1:6" x14ac:dyDescent="0.3">
      <c r="A63">
        <v>1</v>
      </c>
      <c r="B63" t="s">
        <v>184</v>
      </c>
      <c r="C63" t="s">
        <v>107</v>
      </c>
      <c r="D63">
        <v>53</v>
      </c>
      <c r="E63">
        <v>172</v>
      </c>
      <c r="F63">
        <v>1898499</v>
      </c>
    </row>
    <row r="64" spans="1:6" x14ac:dyDescent="0.3">
      <c r="A64">
        <v>1</v>
      </c>
      <c r="B64" t="s">
        <v>183</v>
      </c>
      <c r="C64" t="s">
        <v>108</v>
      </c>
      <c r="D64">
        <v>104</v>
      </c>
      <c r="E64">
        <v>209</v>
      </c>
      <c r="F64">
        <v>1899653</v>
      </c>
    </row>
    <row r="65" spans="1:6" x14ac:dyDescent="0.3">
      <c r="A65">
        <v>1</v>
      </c>
      <c r="B65" t="s">
        <v>186</v>
      </c>
      <c r="C65" t="s">
        <v>109</v>
      </c>
      <c r="D65">
        <v>60</v>
      </c>
      <c r="E65">
        <v>47</v>
      </c>
      <c r="F65">
        <v>1899666</v>
      </c>
    </row>
    <row r="66" spans="1:6" x14ac:dyDescent="0.3">
      <c r="A66">
        <v>1</v>
      </c>
      <c r="B66" t="s">
        <v>190</v>
      </c>
      <c r="C66" t="s">
        <v>110</v>
      </c>
      <c r="D66">
        <v>77</v>
      </c>
      <c r="E66">
        <v>210</v>
      </c>
      <c r="F66">
        <v>1899728</v>
      </c>
    </row>
    <row r="67" spans="1:6" x14ac:dyDescent="0.3">
      <c r="A67">
        <v>1</v>
      </c>
      <c r="B67" t="s">
        <v>182</v>
      </c>
      <c r="C67" t="s">
        <v>111</v>
      </c>
      <c r="D67">
        <v>68</v>
      </c>
      <c r="E67">
        <v>29</v>
      </c>
      <c r="F67">
        <v>1901284</v>
      </c>
    </row>
    <row r="68" spans="1:6" x14ac:dyDescent="0.3">
      <c r="A68">
        <v>1</v>
      </c>
      <c r="B68" t="s">
        <v>186</v>
      </c>
      <c r="C68" t="s">
        <v>112</v>
      </c>
      <c r="D68">
        <v>42</v>
      </c>
      <c r="E68">
        <v>134</v>
      </c>
      <c r="F68">
        <v>1901538</v>
      </c>
    </row>
    <row r="69" spans="1:6" x14ac:dyDescent="0.3">
      <c r="A69">
        <v>1</v>
      </c>
      <c r="B69" t="s">
        <v>191</v>
      </c>
      <c r="C69" t="s">
        <v>113</v>
      </c>
      <c r="D69">
        <v>42</v>
      </c>
      <c r="E69">
        <v>135</v>
      </c>
      <c r="F69">
        <v>1901545</v>
      </c>
    </row>
    <row r="70" spans="1:6" x14ac:dyDescent="0.3">
      <c r="A70">
        <v>1</v>
      </c>
      <c r="B70" t="s">
        <v>190</v>
      </c>
      <c r="C70" t="s">
        <v>114</v>
      </c>
      <c r="D70">
        <v>42</v>
      </c>
      <c r="E70">
        <v>138</v>
      </c>
      <c r="F70">
        <v>1901550</v>
      </c>
    </row>
    <row r="71" spans="1:6" x14ac:dyDescent="0.3">
      <c r="A71">
        <v>1</v>
      </c>
      <c r="B71" t="s">
        <v>182</v>
      </c>
      <c r="C71" t="s">
        <v>115</v>
      </c>
      <c r="D71">
        <v>42</v>
      </c>
      <c r="E71">
        <v>139</v>
      </c>
      <c r="F71">
        <v>1901556</v>
      </c>
    </row>
    <row r="72" spans="1:6" x14ac:dyDescent="0.3">
      <c r="A72">
        <v>1</v>
      </c>
      <c r="B72" t="s">
        <v>192</v>
      </c>
      <c r="C72" t="s">
        <v>116</v>
      </c>
      <c r="D72">
        <v>108</v>
      </c>
      <c r="E72">
        <v>230</v>
      </c>
      <c r="F72">
        <v>1902055</v>
      </c>
    </row>
    <row r="73" spans="1:6" x14ac:dyDescent="0.3">
      <c r="A73">
        <v>1</v>
      </c>
      <c r="B73" t="s">
        <v>181</v>
      </c>
      <c r="C73" t="s">
        <v>117</v>
      </c>
      <c r="D73">
        <v>108</v>
      </c>
      <c r="E73">
        <v>231</v>
      </c>
      <c r="F73">
        <v>1902081</v>
      </c>
    </row>
    <row r="74" spans="1:6" x14ac:dyDescent="0.3">
      <c r="A74">
        <v>1</v>
      </c>
      <c r="B74" t="s">
        <v>187</v>
      </c>
      <c r="C74" t="s">
        <v>118</v>
      </c>
      <c r="D74">
        <v>113</v>
      </c>
      <c r="E74">
        <v>1</v>
      </c>
      <c r="F74">
        <v>1902135</v>
      </c>
    </row>
    <row r="75" spans="1:6" x14ac:dyDescent="0.3">
      <c r="A75">
        <v>1</v>
      </c>
      <c r="B75" t="s">
        <v>183</v>
      </c>
      <c r="C75" t="s">
        <v>119</v>
      </c>
      <c r="D75">
        <v>113</v>
      </c>
      <c r="E75">
        <v>2</v>
      </c>
      <c r="F75">
        <v>1902147</v>
      </c>
    </row>
    <row r="76" spans="1:6" x14ac:dyDescent="0.3">
      <c r="A76">
        <v>1</v>
      </c>
      <c r="B76" t="s">
        <v>187</v>
      </c>
      <c r="C76" t="s">
        <v>120</v>
      </c>
      <c r="D76">
        <v>42</v>
      </c>
      <c r="E76">
        <v>275</v>
      </c>
      <c r="F76">
        <v>1902295</v>
      </c>
    </row>
    <row r="77" spans="1:6" x14ac:dyDescent="0.3">
      <c r="A77">
        <v>1</v>
      </c>
      <c r="B77" t="s">
        <v>183</v>
      </c>
      <c r="C77" t="s">
        <v>121</v>
      </c>
      <c r="D77">
        <v>42</v>
      </c>
      <c r="E77">
        <v>276</v>
      </c>
      <c r="F77">
        <v>1902307</v>
      </c>
    </row>
    <row r="78" spans="1:6" x14ac:dyDescent="0.3">
      <c r="A78">
        <v>1</v>
      </c>
      <c r="B78" t="s">
        <v>189</v>
      </c>
      <c r="C78" t="s">
        <v>122</v>
      </c>
      <c r="D78">
        <v>200</v>
      </c>
      <c r="E78">
        <v>284</v>
      </c>
      <c r="F78">
        <v>1902841</v>
      </c>
    </row>
    <row r="79" spans="1:6" x14ac:dyDescent="0.3">
      <c r="A79">
        <v>1</v>
      </c>
      <c r="B79" t="s">
        <v>186</v>
      </c>
      <c r="C79" t="s">
        <v>123</v>
      </c>
      <c r="D79">
        <v>33</v>
      </c>
      <c r="E79">
        <v>309</v>
      </c>
      <c r="F79">
        <v>1903011</v>
      </c>
    </row>
    <row r="80" spans="1:6" x14ac:dyDescent="0.3">
      <c r="A80">
        <v>1</v>
      </c>
      <c r="B80" t="s">
        <v>186</v>
      </c>
      <c r="C80" t="s">
        <v>124</v>
      </c>
      <c r="D80">
        <v>20</v>
      </c>
      <c r="E80">
        <v>64</v>
      </c>
      <c r="F80">
        <v>1903112</v>
      </c>
    </row>
    <row r="81" spans="1:6" x14ac:dyDescent="0.3">
      <c r="A81">
        <v>1</v>
      </c>
      <c r="B81" t="s">
        <v>194</v>
      </c>
      <c r="C81" t="s">
        <v>125</v>
      </c>
      <c r="D81">
        <v>20</v>
      </c>
      <c r="E81">
        <v>120</v>
      </c>
      <c r="F81">
        <v>1903136</v>
      </c>
    </row>
    <row r="82" spans="1:6" x14ac:dyDescent="0.3">
      <c r="A82">
        <v>1</v>
      </c>
      <c r="B82" t="s">
        <v>183</v>
      </c>
      <c r="C82" t="s">
        <v>125</v>
      </c>
      <c r="D82">
        <v>20</v>
      </c>
      <c r="E82">
        <v>118</v>
      </c>
      <c r="F82">
        <v>1903136</v>
      </c>
    </row>
    <row r="83" spans="1:6" x14ac:dyDescent="0.3">
      <c r="A83">
        <v>1</v>
      </c>
      <c r="B83" t="s">
        <v>190</v>
      </c>
      <c r="C83" t="s">
        <v>126</v>
      </c>
      <c r="D83">
        <v>113</v>
      </c>
      <c r="E83">
        <v>285</v>
      </c>
      <c r="F83">
        <v>1904038</v>
      </c>
    </row>
    <row r="84" spans="1:6" x14ac:dyDescent="0.3">
      <c r="A84">
        <v>1</v>
      </c>
      <c r="B84" t="s">
        <v>189</v>
      </c>
      <c r="C84" t="s">
        <v>127</v>
      </c>
      <c r="D84">
        <v>113</v>
      </c>
      <c r="E84">
        <v>280</v>
      </c>
      <c r="F84">
        <v>1904040</v>
      </c>
    </row>
    <row r="85" spans="1:6" x14ac:dyDescent="0.3">
      <c r="A85">
        <v>1</v>
      </c>
      <c r="B85" t="s">
        <v>186</v>
      </c>
      <c r="C85" t="s">
        <v>128</v>
      </c>
      <c r="D85">
        <v>66</v>
      </c>
      <c r="E85">
        <v>36</v>
      </c>
      <c r="F85">
        <v>1904099</v>
      </c>
    </row>
    <row r="86" spans="1:6" x14ac:dyDescent="0.3">
      <c r="A86">
        <v>1</v>
      </c>
      <c r="B86" t="s">
        <v>184</v>
      </c>
      <c r="C86" t="s">
        <v>129</v>
      </c>
      <c r="D86">
        <v>77</v>
      </c>
      <c r="E86">
        <v>296</v>
      </c>
      <c r="F86">
        <v>1904251</v>
      </c>
    </row>
    <row r="87" spans="1:6" x14ac:dyDescent="0.3">
      <c r="A87">
        <v>1</v>
      </c>
      <c r="B87" t="s">
        <v>180</v>
      </c>
      <c r="C87" t="s">
        <v>130</v>
      </c>
      <c r="D87">
        <v>77</v>
      </c>
      <c r="E87">
        <v>219</v>
      </c>
      <c r="F87">
        <v>1904430</v>
      </c>
    </row>
    <row r="88" spans="1:6" x14ac:dyDescent="0.3">
      <c r="A88">
        <v>1</v>
      </c>
      <c r="B88" t="s">
        <v>193</v>
      </c>
      <c r="C88" t="s">
        <v>131</v>
      </c>
      <c r="D88">
        <v>77</v>
      </c>
      <c r="E88">
        <v>294</v>
      </c>
      <c r="F88">
        <v>1904745</v>
      </c>
    </row>
    <row r="89" spans="1:6" x14ac:dyDescent="0.3">
      <c r="A89">
        <v>1</v>
      </c>
      <c r="B89" t="s">
        <v>195</v>
      </c>
      <c r="C89" t="s">
        <v>132</v>
      </c>
      <c r="D89">
        <v>93</v>
      </c>
      <c r="E89">
        <v>264</v>
      </c>
      <c r="F89">
        <v>1904977</v>
      </c>
    </row>
    <row r="90" spans="1:6" x14ac:dyDescent="0.3">
      <c r="A90">
        <v>1</v>
      </c>
      <c r="B90" t="s">
        <v>183</v>
      </c>
      <c r="C90" t="s">
        <v>133</v>
      </c>
      <c r="D90">
        <v>93</v>
      </c>
      <c r="E90">
        <v>267</v>
      </c>
      <c r="F90">
        <v>1905860</v>
      </c>
    </row>
    <row r="91" spans="1:6" x14ac:dyDescent="0.3">
      <c r="A91">
        <v>1</v>
      </c>
      <c r="B91" t="s">
        <v>183</v>
      </c>
      <c r="C91" t="s">
        <v>134</v>
      </c>
      <c r="D91">
        <v>82</v>
      </c>
      <c r="E91">
        <v>196</v>
      </c>
      <c r="F91">
        <v>1906515</v>
      </c>
    </row>
    <row r="92" spans="1:6" x14ac:dyDescent="0.3">
      <c r="A92">
        <v>1</v>
      </c>
      <c r="B92" t="s">
        <v>194</v>
      </c>
      <c r="C92" t="s">
        <v>135</v>
      </c>
      <c r="D92">
        <v>82</v>
      </c>
      <c r="E92">
        <v>260</v>
      </c>
      <c r="F92">
        <v>1907192</v>
      </c>
    </row>
    <row r="93" spans="1:6" x14ac:dyDescent="0.3">
      <c r="A93">
        <v>1</v>
      </c>
      <c r="B93" t="s">
        <v>183</v>
      </c>
      <c r="C93" t="s">
        <v>136</v>
      </c>
      <c r="D93">
        <v>59</v>
      </c>
      <c r="E93">
        <v>59</v>
      </c>
      <c r="F93">
        <v>1908333</v>
      </c>
    </row>
    <row r="94" spans="1:6" x14ac:dyDescent="0.3">
      <c r="A94">
        <v>1</v>
      </c>
      <c r="B94" t="s">
        <v>186</v>
      </c>
      <c r="C94" t="s">
        <v>137</v>
      </c>
      <c r="D94">
        <v>93</v>
      </c>
      <c r="E94">
        <v>184</v>
      </c>
      <c r="F94">
        <v>1909030</v>
      </c>
    </row>
    <row r="95" spans="1:6" x14ac:dyDescent="0.3">
      <c r="A95">
        <v>1</v>
      </c>
      <c r="B95" t="s">
        <v>184</v>
      </c>
      <c r="C95" t="s">
        <v>138</v>
      </c>
      <c r="D95">
        <v>72</v>
      </c>
      <c r="E95">
        <v>266</v>
      </c>
      <c r="F95">
        <v>1909294</v>
      </c>
    </row>
    <row r="96" spans="1:6" x14ac:dyDescent="0.3">
      <c r="A96">
        <v>1</v>
      </c>
      <c r="B96" t="s">
        <v>192</v>
      </c>
      <c r="C96" t="s">
        <v>138</v>
      </c>
      <c r="D96">
        <v>72</v>
      </c>
      <c r="E96">
        <v>270</v>
      </c>
      <c r="F96">
        <v>1909294</v>
      </c>
    </row>
    <row r="97" spans="1:6" x14ac:dyDescent="0.3">
      <c r="A97">
        <v>1</v>
      </c>
      <c r="B97" t="s">
        <v>184</v>
      </c>
      <c r="C97" t="s">
        <v>138</v>
      </c>
      <c r="D97">
        <v>72</v>
      </c>
      <c r="E97">
        <v>268</v>
      </c>
      <c r="F97">
        <v>1909294</v>
      </c>
    </row>
    <row r="98" spans="1:6" x14ac:dyDescent="0.3">
      <c r="A98">
        <v>1</v>
      </c>
      <c r="B98" t="s">
        <v>193</v>
      </c>
      <c r="C98" t="s">
        <v>138</v>
      </c>
      <c r="D98">
        <v>72</v>
      </c>
      <c r="E98">
        <v>269</v>
      </c>
      <c r="F98">
        <v>1909294</v>
      </c>
    </row>
    <row r="99" spans="1:6" x14ac:dyDescent="0.3">
      <c r="A99">
        <v>1</v>
      </c>
      <c r="B99" t="s">
        <v>182</v>
      </c>
      <c r="C99" t="s">
        <v>139</v>
      </c>
      <c r="D99">
        <v>110</v>
      </c>
      <c r="E99">
        <v>25</v>
      </c>
      <c r="F99">
        <v>1910412</v>
      </c>
    </row>
    <row r="100" spans="1:6" x14ac:dyDescent="0.3">
      <c r="A100">
        <v>1</v>
      </c>
      <c r="B100" t="s">
        <v>182</v>
      </c>
      <c r="C100" t="s">
        <v>140</v>
      </c>
      <c r="D100">
        <v>110</v>
      </c>
      <c r="E100">
        <v>49</v>
      </c>
      <c r="F100">
        <v>1910451</v>
      </c>
    </row>
    <row r="101" spans="1:6" x14ac:dyDescent="0.3">
      <c r="A101">
        <v>1</v>
      </c>
      <c r="B101" t="s">
        <v>188</v>
      </c>
      <c r="C101" t="s">
        <v>141</v>
      </c>
      <c r="D101">
        <v>110</v>
      </c>
      <c r="E101">
        <v>50</v>
      </c>
      <c r="F101">
        <v>1910560</v>
      </c>
    </row>
    <row r="102" spans="1:6" x14ac:dyDescent="0.3">
      <c r="A102">
        <v>1</v>
      </c>
      <c r="B102" t="s">
        <v>186</v>
      </c>
      <c r="C102" t="s">
        <v>141</v>
      </c>
      <c r="D102">
        <v>110</v>
      </c>
      <c r="E102">
        <v>51</v>
      </c>
      <c r="F102">
        <v>1910560</v>
      </c>
    </row>
    <row r="103" spans="1:6" x14ac:dyDescent="0.3">
      <c r="A103">
        <v>1</v>
      </c>
      <c r="B103" t="s">
        <v>189</v>
      </c>
      <c r="C103" t="s">
        <v>142</v>
      </c>
      <c r="D103">
        <v>106</v>
      </c>
      <c r="E103">
        <v>38</v>
      </c>
      <c r="F103">
        <v>1912322</v>
      </c>
    </row>
    <row r="104" spans="1:6" x14ac:dyDescent="0.3">
      <c r="A104">
        <v>1</v>
      </c>
      <c r="B104" t="s">
        <v>181</v>
      </c>
      <c r="C104" t="s">
        <v>143</v>
      </c>
      <c r="D104">
        <v>77</v>
      </c>
      <c r="E104">
        <v>116</v>
      </c>
      <c r="F104">
        <v>1912546</v>
      </c>
    </row>
    <row r="105" spans="1:6" x14ac:dyDescent="0.3">
      <c r="A105">
        <v>1</v>
      </c>
      <c r="B105" t="s">
        <v>181</v>
      </c>
      <c r="C105" t="s">
        <v>144</v>
      </c>
      <c r="D105">
        <v>42</v>
      </c>
      <c r="E105">
        <v>215</v>
      </c>
      <c r="F105">
        <v>1913899</v>
      </c>
    </row>
    <row r="106" spans="1:6" x14ac:dyDescent="0.3">
      <c r="A106">
        <v>1</v>
      </c>
      <c r="B106" t="s">
        <v>192</v>
      </c>
      <c r="C106" t="s">
        <v>145</v>
      </c>
      <c r="D106">
        <v>42</v>
      </c>
      <c r="E106">
        <v>217</v>
      </c>
      <c r="F106">
        <v>1913907</v>
      </c>
    </row>
    <row r="107" spans="1:6" x14ac:dyDescent="0.3">
      <c r="A107">
        <v>1</v>
      </c>
      <c r="B107" t="s">
        <v>188</v>
      </c>
      <c r="C107" t="s">
        <v>146</v>
      </c>
      <c r="D107">
        <v>42</v>
      </c>
      <c r="E107">
        <v>218</v>
      </c>
      <c r="F107">
        <v>1913913</v>
      </c>
    </row>
    <row r="108" spans="1:6" x14ac:dyDescent="0.3">
      <c r="A108">
        <v>1</v>
      </c>
      <c r="B108" t="s">
        <v>195</v>
      </c>
      <c r="C108" t="s">
        <v>147</v>
      </c>
      <c r="D108">
        <v>42</v>
      </c>
      <c r="E108">
        <v>216</v>
      </c>
      <c r="F108">
        <v>1913922</v>
      </c>
    </row>
    <row r="109" spans="1:6" x14ac:dyDescent="0.3">
      <c r="A109">
        <v>1</v>
      </c>
      <c r="B109" t="s">
        <v>191</v>
      </c>
      <c r="C109" t="s">
        <v>148</v>
      </c>
      <c r="D109">
        <v>82</v>
      </c>
      <c r="E109">
        <v>147</v>
      </c>
      <c r="F109">
        <v>1914912</v>
      </c>
    </row>
    <row r="110" spans="1:6" x14ac:dyDescent="0.3">
      <c r="A110">
        <v>1</v>
      </c>
      <c r="B110" t="s">
        <v>181</v>
      </c>
      <c r="C110" t="s">
        <v>149</v>
      </c>
      <c r="D110">
        <v>82</v>
      </c>
      <c r="E110">
        <v>143</v>
      </c>
      <c r="F110">
        <v>1914921</v>
      </c>
    </row>
    <row r="111" spans="1:6" x14ac:dyDescent="0.3">
      <c r="A111">
        <v>1</v>
      </c>
      <c r="B111" t="s">
        <v>181</v>
      </c>
      <c r="C111" t="s">
        <v>150</v>
      </c>
      <c r="D111">
        <v>72</v>
      </c>
      <c r="E111">
        <v>150</v>
      </c>
      <c r="F111">
        <v>1916223</v>
      </c>
    </row>
    <row r="112" spans="1:6" x14ac:dyDescent="0.3">
      <c r="A112">
        <v>1</v>
      </c>
      <c r="B112" t="s">
        <v>184</v>
      </c>
      <c r="C112" t="s">
        <v>151</v>
      </c>
      <c r="D112">
        <v>9</v>
      </c>
      <c r="E112">
        <v>113</v>
      </c>
      <c r="F112">
        <v>1916809</v>
      </c>
    </row>
    <row r="113" spans="1:6" x14ac:dyDescent="0.3">
      <c r="A113">
        <v>1</v>
      </c>
      <c r="B113" t="s">
        <v>182</v>
      </c>
      <c r="C113" t="s">
        <v>152</v>
      </c>
      <c r="D113">
        <v>42</v>
      </c>
      <c r="E113">
        <v>310</v>
      </c>
      <c r="F113">
        <v>1918369</v>
      </c>
    </row>
    <row r="114" spans="1:6" x14ac:dyDescent="0.3">
      <c r="A114">
        <v>1</v>
      </c>
      <c r="B114" t="s">
        <v>189</v>
      </c>
      <c r="C114" t="s">
        <v>153</v>
      </c>
      <c r="D114">
        <v>42</v>
      </c>
      <c r="E114">
        <v>307</v>
      </c>
      <c r="F114">
        <v>1918372</v>
      </c>
    </row>
    <row r="115" spans="1:6" x14ac:dyDescent="0.3">
      <c r="A115">
        <v>1</v>
      </c>
      <c r="B115" t="s">
        <v>185</v>
      </c>
      <c r="C115" t="s">
        <v>154</v>
      </c>
      <c r="D115">
        <v>42</v>
      </c>
      <c r="E115">
        <v>306</v>
      </c>
      <c r="F115">
        <v>1918376</v>
      </c>
    </row>
    <row r="116" spans="1:6" x14ac:dyDescent="0.3">
      <c r="A116">
        <v>1</v>
      </c>
      <c r="B116" t="s">
        <v>189</v>
      </c>
      <c r="C116" t="s">
        <v>155</v>
      </c>
      <c r="D116">
        <v>42</v>
      </c>
      <c r="E116">
        <v>302</v>
      </c>
      <c r="F116">
        <v>1918377</v>
      </c>
    </row>
    <row r="117" spans="1:6" x14ac:dyDescent="0.3">
      <c r="A117">
        <v>1</v>
      </c>
      <c r="B117" t="s">
        <v>190</v>
      </c>
      <c r="C117" t="s">
        <v>156</v>
      </c>
      <c r="D117">
        <v>42</v>
      </c>
      <c r="E117">
        <v>303</v>
      </c>
      <c r="F117">
        <v>1918379</v>
      </c>
    </row>
    <row r="118" spans="1:6" x14ac:dyDescent="0.3">
      <c r="A118">
        <v>1</v>
      </c>
      <c r="B118" t="s">
        <v>187</v>
      </c>
      <c r="C118" t="s">
        <v>157</v>
      </c>
      <c r="D118">
        <v>42</v>
      </c>
      <c r="E118">
        <v>10</v>
      </c>
      <c r="F118">
        <v>1918856</v>
      </c>
    </row>
    <row r="119" spans="1:6" x14ac:dyDescent="0.3">
      <c r="A119">
        <v>1</v>
      </c>
      <c r="B119" t="s">
        <v>188</v>
      </c>
      <c r="C119" t="s">
        <v>158</v>
      </c>
      <c r="D119">
        <v>42</v>
      </c>
      <c r="E119">
        <v>12</v>
      </c>
      <c r="F119">
        <v>1918865</v>
      </c>
    </row>
    <row r="120" spans="1:6" x14ac:dyDescent="0.3">
      <c r="A120">
        <v>1</v>
      </c>
      <c r="B120" t="s">
        <v>195</v>
      </c>
      <c r="C120" t="s">
        <v>159</v>
      </c>
      <c r="D120">
        <v>42</v>
      </c>
      <c r="E120">
        <v>65</v>
      </c>
      <c r="F120">
        <v>1919002</v>
      </c>
    </row>
    <row r="121" spans="1:6" x14ac:dyDescent="0.3">
      <c r="A121">
        <v>1</v>
      </c>
      <c r="B121" t="s">
        <v>184</v>
      </c>
      <c r="C121" t="s">
        <v>160</v>
      </c>
      <c r="D121">
        <v>108</v>
      </c>
      <c r="E121">
        <v>7</v>
      </c>
      <c r="F121">
        <v>1919480</v>
      </c>
    </row>
    <row r="122" spans="1:6" x14ac:dyDescent="0.3">
      <c r="A122">
        <v>1</v>
      </c>
      <c r="B122" t="s">
        <v>188</v>
      </c>
      <c r="C122" t="s">
        <v>160</v>
      </c>
      <c r="D122">
        <v>108</v>
      </c>
      <c r="E122">
        <v>13</v>
      </c>
      <c r="F122">
        <v>1919480</v>
      </c>
    </row>
    <row r="123" spans="1:6" x14ac:dyDescent="0.3">
      <c r="A123">
        <v>1</v>
      </c>
      <c r="B123" t="s">
        <v>182</v>
      </c>
      <c r="C123" t="s">
        <v>161</v>
      </c>
      <c r="D123">
        <v>108</v>
      </c>
      <c r="E123">
        <v>63</v>
      </c>
      <c r="F123">
        <v>1919914</v>
      </c>
    </row>
    <row r="124" spans="1:6" x14ac:dyDescent="0.3">
      <c r="A124">
        <v>1</v>
      </c>
      <c r="B124" t="s">
        <v>186</v>
      </c>
      <c r="C124" t="s">
        <v>162</v>
      </c>
      <c r="D124">
        <v>82</v>
      </c>
      <c r="E124">
        <v>60</v>
      </c>
      <c r="F124">
        <v>1920183</v>
      </c>
    </row>
    <row r="125" spans="1:6" x14ac:dyDescent="0.3">
      <c r="A125">
        <v>1</v>
      </c>
      <c r="B125" t="s">
        <v>184</v>
      </c>
      <c r="C125" t="s">
        <v>163</v>
      </c>
      <c r="D125">
        <v>42</v>
      </c>
      <c r="E125">
        <v>112</v>
      </c>
      <c r="F125">
        <v>1920569</v>
      </c>
    </row>
    <row r="126" spans="1:6" x14ac:dyDescent="0.3">
      <c r="A126">
        <v>1</v>
      </c>
      <c r="B126" t="s">
        <v>188</v>
      </c>
      <c r="C126" t="s">
        <v>164</v>
      </c>
      <c r="D126">
        <v>77</v>
      </c>
      <c r="E126">
        <v>48</v>
      </c>
      <c r="F126">
        <v>1924429</v>
      </c>
    </row>
    <row r="127" spans="1:6" x14ac:dyDescent="0.3">
      <c r="A127">
        <v>1</v>
      </c>
      <c r="B127" t="s">
        <v>195</v>
      </c>
      <c r="C127" t="s">
        <v>165</v>
      </c>
      <c r="D127">
        <v>104</v>
      </c>
      <c r="E127">
        <v>173</v>
      </c>
      <c r="F127">
        <v>1925349</v>
      </c>
    </row>
    <row r="128" spans="1:6" x14ac:dyDescent="0.3">
      <c r="A128">
        <v>1</v>
      </c>
      <c r="B128" t="s">
        <v>192</v>
      </c>
      <c r="C128" t="s">
        <v>166</v>
      </c>
      <c r="D128">
        <v>104</v>
      </c>
      <c r="E128">
        <v>265</v>
      </c>
      <c r="F128">
        <v>1925633</v>
      </c>
    </row>
    <row r="129" spans="1:6" x14ac:dyDescent="0.3">
      <c r="A129">
        <v>1</v>
      </c>
      <c r="B129" t="s">
        <v>181</v>
      </c>
      <c r="C129" t="s">
        <v>167</v>
      </c>
      <c r="D129">
        <v>104</v>
      </c>
      <c r="E129">
        <v>263</v>
      </c>
      <c r="F129">
        <v>1925635</v>
      </c>
    </row>
    <row r="130" spans="1:6" x14ac:dyDescent="0.3">
      <c r="A130">
        <v>1</v>
      </c>
      <c r="B130" t="s">
        <v>191</v>
      </c>
      <c r="C130" t="s">
        <v>168</v>
      </c>
      <c r="D130">
        <v>31</v>
      </c>
      <c r="E130">
        <v>53</v>
      </c>
      <c r="F130">
        <v>1926102</v>
      </c>
    </row>
    <row r="131" spans="1:6" x14ac:dyDescent="0.3">
      <c r="A131">
        <v>1</v>
      </c>
      <c r="B131" t="s">
        <v>182</v>
      </c>
      <c r="C131" t="s">
        <v>169</v>
      </c>
      <c r="D131">
        <v>153</v>
      </c>
      <c r="E131">
        <v>33</v>
      </c>
      <c r="F131">
        <v>1926713</v>
      </c>
    </row>
    <row r="132" spans="1:6" x14ac:dyDescent="0.3">
      <c r="A132">
        <v>1</v>
      </c>
      <c r="B132" t="s">
        <v>182</v>
      </c>
      <c r="C132" t="s">
        <v>170</v>
      </c>
      <c r="D132">
        <v>42</v>
      </c>
      <c r="E132">
        <v>93</v>
      </c>
      <c r="F132">
        <v>1926826</v>
      </c>
    </row>
    <row r="133" spans="1:6" x14ac:dyDescent="0.3">
      <c r="A133">
        <v>1</v>
      </c>
      <c r="B133" t="s">
        <v>190</v>
      </c>
      <c r="C133" t="s">
        <v>171</v>
      </c>
      <c r="D133">
        <v>42</v>
      </c>
      <c r="E133">
        <v>89</v>
      </c>
      <c r="F133">
        <v>1926832</v>
      </c>
    </row>
    <row r="134" spans="1:6" x14ac:dyDescent="0.3">
      <c r="A134">
        <v>1</v>
      </c>
      <c r="B134" t="s">
        <v>186</v>
      </c>
      <c r="C134" t="s">
        <v>172</v>
      </c>
      <c r="D134">
        <v>42</v>
      </c>
      <c r="E134">
        <v>88</v>
      </c>
      <c r="F134">
        <v>1926833</v>
      </c>
    </row>
    <row r="135" spans="1:6" x14ac:dyDescent="0.3">
      <c r="A135">
        <v>1</v>
      </c>
      <c r="B135" t="s">
        <v>194</v>
      </c>
      <c r="C135" t="s">
        <v>173</v>
      </c>
      <c r="D135">
        <v>113</v>
      </c>
      <c r="E135">
        <v>153</v>
      </c>
      <c r="F135">
        <v>1927149</v>
      </c>
    </row>
    <row r="136" spans="1:6" x14ac:dyDescent="0.3">
      <c r="A136">
        <v>1</v>
      </c>
      <c r="B136" t="s">
        <v>183</v>
      </c>
      <c r="C136" t="s">
        <v>174</v>
      </c>
      <c r="D136">
        <v>102</v>
      </c>
      <c r="E136">
        <v>205</v>
      </c>
      <c r="F136">
        <v>1927680</v>
      </c>
    </row>
    <row r="137" spans="1:6" x14ac:dyDescent="0.3">
      <c r="A137">
        <v>1</v>
      </c>
      <c r="B137" t="s">
        <v>183</v>
      </c>
      <c r="C137" t="s">
        <v>175</v>
      </c>
      <c r="D137">
        <v>42</v>
      </c>
      <c r="E137">
        <v>289</v>
      </c>
      <c r="F137">
        <v>1927709</v>
      </c>
    </row>
    <row r="138" spans="1:6" x14ac:dyDescent="0.3">
      <c r="A138">
        <v>1</v>
      </c>
      <c r="B138" t="s">
        <v>195</v>
      </c>
      <c r="C138" t="s">
        <v>176</v>
      </c>
      <c r="D138">
        <v>61</v>
      </c>
      <c r="E138">
        <v>42</v>
      </c>
      <c r="F138">
        <v>1929767</v>
      </c>
    </row>
    <row r="139" spans="1:6" x14ac:dyDescent="0.3">
      <c r="A139">
        <v>1</v>
      </c>
      <c r="B139" t="s">
        <v>182</v>
      </c>
      <c r="C139" t="s">
        <v>177</v>
      </c>
      <c r="D139">
        <v>62</v>
      </c>
      <c r="E139">
        <v>186</v>
      </c>
      <c r="F139">
        <v>1932649</v>
      </c>
    </row>
    <row r="140" spans="1:6" x14ac:dyDescent="0.3">
      <c r="A140">
        <v>1</v>
      </c>
      <c r="B140" t="s">
        <v>194</v>
      </c>
      <c r="C140" t="s">
        <v>178</v>
      </c>
      <c r="D140">
        <v>109</v>
      </c>
      <c r="E140">
        <v>175</v>
      </c>
      <c r="F140">
        <v>1935408</v>
      </c>
    </row>
    <row r="141" spans="1:6" x14ac:dyDescent="0.3">
      <c r="A141">
        <v>1</v>
      </c>
      <c r="B141" t="s">
        <v>185</v>
      </c>
      <c r="C141" t="s">
        <v>179</v>
      </c>
      <c r="D141">
        <v>93</v>
      </c>
      <c r="E141">
        <v>185</v>
      </c>
      <c r="F141">
        <v>1936619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A22E-7C1F-4143-AC1C-1C26571D1B6B}">
  <dimension ref="A1:G141"/>
  <sheetViews>
    <sheetView workbookViewId="0">
      <selection activeCell="G2" sqref="G2"/>
    </sheetView>
  </sheetViews>
  <sheetFormatPr defaultColWidth="11.5546875" defaultRowHeight="14.4" x14ac:dyDescent="0.3"/>
  <sheetData>
    <row r="1" spans="1:7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s="15"/>
    </row>
    <row r="2" spans="1:7" x14ac:dyDescent="0.3">
      <c r="A2">
        <v>1</v>
      </c>
      <c r="B2" s="1">
        <v>45503</v>
      </c>
      <c r="C2" t="s">
        <v>47</v>
      </c>
      <c r="D2">
        <v>99</v>
      </c>
      <c r="E2">
        <v>261</v>
      </c>
      <c r="F2">
        <v>1539969</v>
      </c>
      <c r="G2" s="15" t="str" cm="1">
        <f t="array" ref="G2">_xlfn.SWITCH(A2,1,"GOLD",2,"SILVER",3,"BRONZE")</f>
        <v>GOLD</v>
      </c>
    </row>
    <row r="3" spans="1:7" x14ac:dyDescent="0.3">
      <c r="A3">
        <v>1</v>
      </c>
      <c r="B3" s="1">
        <v>45502</v>
      </c>
      <c r="C3" t="s">
        <v>48</v>
      </c>
      <c r="D3">
        <v>171</v>
      </c>
      <c r="E3">
        <v>259</v>
      </c>
      <c r="F3">
        <v>1543549</v>
      </c>
      <c r="G3" s="15" t="str" cm="1">
        <f t="array" ref="G3">_xlfn.SWITCH(A3,1,"GOLD",2,"SILVER",3,"BRONZE")</f>
        <v>GOLD</v>
      </c>
    </row>
    <row r="4" spans="1:7" x14ac:dyDescent="0.3">
      <c r="A4">
        <v>1</v>
      </c>
      <c r="B4" s="1">
        <v>45514</v>
      </c>
      <c r="C4" t="s">
        <v>49</v>
      </c>
      <c r="D4">
        <v>98</v>
      </c>
      <c r="E4">
        <v>283</v>
      </c>
      <c r="F4">
        <v>1536045</v>
      </c>
      <c r="G4" s="15" t="str" cm="1">
        <f t="array" ref="G4">_xlfn.SWITCH(A4,1,"GOLD",2,"SILVER",3,"BRONZE")</f>
        <v>GOLD</v>
      </c>
    </row>
    <row r="5" spans="1:7" x14ac:dyDescent="0.3">
      <c r="A5">
        <v>1</v>
      </c>
      <c r="B5" s="1">
        <v>45507</v>
      </c>
      <c r="C5" t="s">
        <v>50</v>
      </c>
      <c r="D5">
        <v>122</v>
      </c>
      <c r="E5">
        <v>45</v>
      </c>
      <c r="F5">
        <v>1537325</v>
      </c>
      <c r="G5" s="15" t="str" cm="1">
        <f t="array" ref="G5">_xlfn.SWITCH(A5,1,"GOLD",2,"SILVER",3,"BRONZE")</f>
        <v>GOLD</v>
      </c>
    </row>
    <row r="6" spans="1:7" x14ac:dyDescent="0.3">
      <c r="A6">
        <v>1</v>
      </c>
      <c r="B6" s="1">
        <v>45504</v>
      </c>
      <c r="C6" t="s">
        <v>51</v>
      </c>
      <c r="D6">
        <v>80</v>
      </c>
      <c r="E6">
        <v>179</v>
      </c>
      <c r="F6">
        <v>1548817</v>
      </c>
      <c r="G6" s="15" t="str" cm="1">
        <f t="array" ref="G6">_xlfn.SWITCH(A6,1,"GOLD",2,"SILVER",3,"BRONZE")</f>
        <v>GOLD</v>
      </c>
    </row>
    <row r="7" spans="1:7" x14ac:dyDescent="0.3">
      <c r="A7">
        <v>1</v>
      </c>
      <c r="B7" s="1">
        <v>45504</v>
      </c>
      <c r="C7" t="s">
        <v>52</v>
      </c>
      <c r="D7">
        <v>72</v>
      </c>
      <c r="E7">
        <v>295</v>
      </c>
      <c r="F7">
        <v>1543963</v>
      </c>
      <c r="G7" s="15" t="str" cm="1">
        <f t="array" ref="G7">_xlfn.SWITCH(A7,1,"GOLD",2,"SILVER",3,"BRONZE")</f>
        <v>GOLD</v>
      </c>
    </row>
    <row r="8" spans="1:7" x14ac:dyDescent="0.3">
      <c r="A8">
        <v>2</v>
      </c>
      <c r="B8" s="1">
        <v>45515</v>
      </c>
      <c r="C8" t="s">
        <v>53</v>
      </c>
      <c r="D8">
        <v>31</v>
      </c>
      <c r="E8">
        <v>328</v>
      </c>
      <c r="F8">
        <v>1540305</v>
      </c>
      <c r="G8" s="15" t="str" cm="1">
        <f t="array" ref="G8">_xlfn.SWITCH(A8,1,"GOLD",2,"SILVER",3,"BRONZE")</f>
        <v>SILVER</v>
      </c>
    </row>
    <row r="9" spans="1:7" x14ac:dyDescent="0.3">
      <c r="A9">
        <v>1</v>
      </c>
      <c r="B9" s="1">
        <v>45513</v>
      </c>
      <c r="C9" t="s">
        <v>54</v>
      </c>
      <c r="D9">
        <v>5</v>
      </c>
      <c r="E9">
        <v>92</v>
      </c>
      <c r="F9">
        <v>1540353</v>
      </c>
      <c r="G9" s="15" t="str" cm="1">
        <f t="array" ref="G9">_xlfn.SWITCH(A9,1,"GOLD",2,"SILVER",3,"BRONZE")</f>
        <v>GOLD</v>
      </c>
    </row>
    <row r="10" spans="1:7" x14ac:dyDescent="0.3">
      <c r="A10">
        <v>2</v>
      </c>
      <c r="B10" s="1">
        <v>45508</v>
      </c>
      <c r="C10" t="s">
        <v>55</v>
      </c>
      <c r="D10">
        <v>5</v>
      </c>
      <c r="E10">
        <v>17</v>
      </c>
      <c r="G10" s="15" t="str" cm="1">
        <f t="array" ref="G10">_xlfn.SWITCH(A10,1,"GOLD",2,"SILVER",3,"BRONZE")</f>
        <v>SILVER</v>
      </c>
    </row>
    <row r="11" spans="1:7" x14ac:dyDescent="0.3">
      <c r="A11">
        <v>1</v>
      </c>
      <c r="B11" s="1">
        <v>45509</v>
      </c>
      <c r="C11" t="s">
        <v>56</v>
      </c>
      <c r="D11">
        <v>104</v>
      </c>
      <c r="E11">
        <v>18</v>
      </c>
      <c r="F11">
        <v>1551061</v>
      </c>
      <c r="G11" s="15" t="str" cm="1">
        <f t="array" ref="G11">_xlfn.SWITCH(A11,1,"GOLD",2,"SILVER",3,"BRONZE")</f>
        <v>GOLD</v>
      </c>
    </row>
    <row r="12" spans="1:7" x14ac:dyDescent="0.3">
      <c r="A12">
        <v>2</v>
      </c>
      <c r="B12" s="1">
        <v>45513</v>
      </c>
      <c r="C12" t="s">
        <v>57</v>
      </c>
      <c r="D12">
        <v>77</v>
      </c>
      <c r="E12">
        <v>236</v>
      </c>
      <c r="F12">
        <v>1544218</v>
      </c>
      <c r="G12" s="15" t="str" cm="1">
        <f t="array" ref="G12">_xlfn.SWITCH(A12,1,"GOLD",2,"SILVER",3,"BRONZE")</f>
        <v>SILVER</v>
      </c>
    </row>
    <row r="13" spans="1:7" x14ac:dyDescent="0.3">
      <c r="A13">
        <v>1</v>
      </c>
      <c r="B13" s="1">
        <v>45511</v>
      </c>
      <c r="C13" t="s">
        <v>58</v>
      </c>
      <c r="D13">
        <v>98</v>
      </c>
      <c r="E13">
        <v>316</v>
      </c>
      <c r="F13">
        <v>1544897</v>
      </c>
      <c r="G13" s="15" t="str" cm="1">
        <f t="array" ref="G13">_xlfn.SWITCH(A13,1,"GOLD",2,"SILVER",3,"BRONZE")</f>
        <v>GOLD</v>
      </c>
    </row>
    <row r="14" spans="1:7" x14ac:dyDescent="0.3">
      <c r="A14">
        <v>3</v>
      </c>
      <c r="B14" s="1">
        <v>45512</v>
      </c>
      <c r="C14" t="s">
        <v>59</v>
      </c>
      <c r="D14">
        <v>98</v>
      </c>
      <c r="E14">
        <v>313</v>
      </c>
      <c r="F14">
        <v>1544928</v>
      </c>
      <c r="G14" s="15" t="str" cm="1">
        <f t="array" ref="G14">_xlfn.SWITCH(A14,1,"GOLD",2,"SILVER",3,"BRONZE")</f>
        <v>BRONZE</v>
      </c>
    </row>
    <row r="15" spans="1:7" x14ac:dyDescent="0.3">
      <c r="A15">
        <v>1</v>
      </c>
      <c r="B15" s="1">
        <v>45514</v>
      </c>
      <c r="C15" t="s">
        <v>60</v>
      </c>
      <c r="D15">
        <v>80</v>
      </c>
      <c r="E15">
        <v>311</v>
      </c>
      <c r="F15">
        <v>1551443</v>
      </c>
      <c r="G15" s="15" t="str" cm="1">
        <f t="array" ref="G15">_xlfn.SWITCH(A15,1,"GOLD",2,"SILVER",3,"BRONZE")</f>
        <v>GOLD</v>
      </c>
    </row>
    <row r="16" spans="1:7" x14ac:dyDescent="0.3">
      <c r="A16">
        <v>3</v>
      </c>
      <c r="B16" s="1">
        <v>45514</v>
      </c>
      <c r="C16" t="s">
        <v>61</v>
      </c>
      <c r="D16">
        <v>80</v>
      </c>
      <c r="E16">
        <v>329</v>
      </c>
      <c r="G16" s="15" t="str" cm="1">
        <f t="array" ref="G16">_xlfn.SWITCH(A16,1,"GOLD",2,"SILVER",3,"BRONZE")</f>
        <v>BRONZE</v>
      </c>
    </row>
    <row r="17" spans="1:7" x14ac:dyDescent="0.3">
      <c r="A17">
        <v>1</v>
      </c>
      <c r="B17" s="1">
        <v>45510</v>
      </c>
      <c r="C17" t="s">
        <v>62</v>
      </c>
      <c r="D17">
        <v>99</v>
      </c>
      <c r="E17">
        <v>91</v>
      </c>
      <c r="F17">
        <v>1555098</v>
      </c>
      <c r="G17" s="15" t="str" cm="1">
        <f t="array" ref="G17">_xlfn.SWITCH(A17,1,"GOLD",2,"SILVER",3,"BRONZE")</f>
        <v>GOLD</v>
      </c>
    </row>
    <row r="18" spans="1:7" x14ac:dyDescent="0.3">
      <c r="A18">
        <v>1</v>
      </c>
      <c r="B18" s="1">
        <v>45511</v>
      </c>
      <c r="C18" t="s">
        <v>63</v>
      </c>
      <c r="D18">
        <v>128</v>
      </c>
      <c r="E18">
        <v>30</v>
      </c>
      <c r="F18">
        <v>1555372</v>
      </c>
      <c r="G18" s="15" t="str" cm="1">
        <f t="array" ref="G18">_xlfn.SWITCH(A18,1,"GOLD",2,"SILVER",3,"BRONZE")</f>
        <v>GOLD</v>
      </c>
    </row>
    <row r="19" spans="1:7" x14ac:dyDescent="0.3">
      <c r="A19">
        <v>3</v>
      </c>
      <c r="B19" s="1">
        <v>45511</v>
      </c>
      <c r="C19" t="s">
        <v>204</v>
      </c>
      <c r="D19">
        <v>54</v>
      </c>
      <c r="E19">
        <v>83</v>
      </c>
      <c r="F19">
        <v>1555537</v>
      </c>
      <c r="G19" s="15" t="str" cm="1">
        <f t="array" ref="G19">_xlfn.SWITCH(A19,1,"GOLD",2,"SILVER",3,"BRONZE")</f>
        <v>BRONZE</v>
      </c>
    </row>
    <row r="20" spans="1:7" x14ac:dyDescent="0.3">
      <c r="A20">
        <v>1</v>
      </c>
      <c r="B20" s="1">
        <v>45512</v>
      </c>
      <c r="C20" t="s">
        <v>65</v>
      </c>
      <c r="D20">
        <v>216</v>
      </c>
      <c r="E20">
        <v>81</v>
      </c>
      <c r="F20">
        <v>1556045</v>
      </c>
      <c r="G20" s="15" t="str" cm="1">
        <f t="array" ref="G20">_xlfn.SWITCH(A20,1,"GOLD",2,"SILVER",3,"BRONZE")</f>
        <v>GOLD</v>
      </c>
    </row>
    <row r="21" spans="1:7" x14ac:dyDescent="0.3">
      <c r="A21">
        <v>1</v>
      </c>
      <c r="B21" s="1">
        <v>45514</v>
      </c>
      <c r="C21" t="s">
        <v>66</v>
      </c>
      <c r="D21">
        <v>216</v>
      </c>
      <c r="E21">
        <v>82</v>
      </c>
      <c r="F21">
        <v>1556049</v>
      </c>
      <c r="G21" s="15" t="str" cm="1">
        <f t="array" ref="G21">_xlfn.SWITCH(A21,1,"GOLD",2,"SILVER",3,"BRONZE")</f>
        <v>GOLD</v>
      </c>
    </row>
    <row r="22" spans="1:7" x14ac:dyDescent="0.3">
      <c r="A22">
        <v>3</v>
      </c>
      <c r="B22" s="1">
        <v>45513</v>
      </c>
      <c r="C22" t="s">
        <v>67</v>
      </c>
      <c r="D22">
        <v>216</v>
      </c>
      <c r="E22">
        <v>84</v>
      </c>
      <c r="F22">
        <v>1556797</v>
      </c>
      <c r="G22" s="15" t="str" cm="1">
        <f t="array" ref="G22">_xlfn.SWITCH(A22,1,"GOLD",2,"SILVER",3,"BRONZE")</f>
        <v>BRONZE</v>
      </c>
    </row>
    <row r="23" spans="1:7" x14ac:dyDescent="0.3">
      <c r="A23">
        <v>1</v>
      </c>
      <c r="B23" s="1">
        <v>45513</v>
      </c>
      <c r="C23" t="s">
        <v>68</v>
      </c>
      <c r="D23">
        <v>216</v>
      </c>
      <c r="E23">
        <v>86</v>
      </c>
      <c r="F23">
        <v>1556860</v>
      </c>
      <c r="G23" s="15" t="str" cm="1">
        <f t="array" ref="G23">_xlfn.SWITCH(A23,1,"GOLD",2,"SILVER",3,"BRONZE")</f>
        <v>GOLD</v>
      </c>
    </row>
    <row r="24" spans="1:7" x14ac:dyDescent="0.3">
      <c r="A24">
        <v>3</v>
      </c>
      <c r="B24" s="1">
        <v>45514</v>
      </c>
      <c r="C24" t="s">
        <v>69</v>
      </c>
      <c r="D24">
        <v>216</v>
      </c>
      <c r="E24">
        <v>87</v>
      </c>
      <c r="F24">
        <v>1556869</v>
      </c>
      <c r="G24" s="15" t="str" cm="1">
        <f t="array" ref="G24">_xlfn.SWITCH(A24,1,"GOLD",2,"SILVER",3,"BRONZE")</f>
        <v>BRONZE</v>
      </c>
    </row>
    <row r="25" spans="1:7" x14ac:dyDescent="0.3">
      <c r="A25">
        <v>3</v>
      </c>
      <c r="B25" s="1">
        <v>45513</v>
      </c>
      <c r="C25" t="s">
        <v>70</v>
      </c>
      <c r="D25">
        <v>33</v>
      </c>
      <c r="E25">
        <v>327</v>
      </c>
      <c r="F25">
        <v>1556873</v>
      </c>
      <c r="G25" s="15" t="str" cm="1">
        <f t="array" ref="G25">_xlfn.SWITCH(A25,1,"GOLD",2,"SILVER",3,"BRONZE")</f>
        <v>BRONZE</v>
      </c>
    </row>
    <row r="26" spans="1:7" x14ac:dyDescent="0.3">
      <c r="A26">
        <v>3</v>
      </c>
      <c r="B26" s="1">
        <v>45512</v>
      </c>
      <c r="C26" t="s">
        <v>71</v>
      </c>
      <c r="D26">
        <v>33</v>
      </c>
      <c r="E26">
        <v>315</v>
      </c>
      <c r="F26">
        <v>1559471</v>
      </c>
      <c r="G26" s="15" t="str" cm="1">
        <f t="array" ref="G26">_xlfn.SWITCH(A26,1,"GOLD",2,"SILVER",3,"BRONZE")</f>
        <v>BRONZE</v>
      </c>
    </row>
    <row r="27" spans="1:7" x14ac:dyDescent="0.3">
      <c r="A27">
        <v>3</v>
      </c>
      <c r="B27" s="1">
        <v>45514</v>
      </c>
      <c r="C27" t="s">
        <v>72</v>
      </c>
      <c r="D27">
        <v>216</v>
      </c>
      <c r="E27">
        <v>326</v>
      </c>
      <c r="F27">
        <v>1562164</v>
      </c>
      <c r="G27" s="15" t="str" cm="1">
        <f t="array" ref="G27">_xlfn.SWITCH(A27,1,"GOLD",2,"SILVER",3,"BRONZE")</f>
        <v>BRONZE</v>
      </c>
    </row>
    <row r="28" spans="1:7" x14ac:dyDescent="0.3">
      <c r="A28">
        <v>1</v>
      </c>
      <c r="B28" s="1">
        <v>45511</v>
      </c>
      <c r="C28" t="s">
        <v>73</v>
      </c>
      <c r="D28">
        <v>164</v>
      </c>
      <c r="E28">
        <v>235</v>
      </c>
      <c r="F28">
        <v>1563327</v>
      </c>
      <c r="G28" s="15" t="str" cm="1">
        <f t="array" ref="G28">_xlfn.SWITCH(A28,1,"GOLD",2,"SILVER",3,"BRONZE")</f>
        <v>GOLD</v>
      </c>
    </row>
    <row r="29" spans="1:7" x14ac:dyDescent="0.3">
      <c r="A29">
        <v>2</v>
      </c>
      <c r="B29" s="1">
        <v>45511</v>
      </c>
      <c r="C29" t="s">
        <v>74</v>
      </c>
      <c r="D29">
        <v>212</v>
      </c>
      <c r="E29">
        <v>85</v>
      </c>
      <c r="G29" s="15" t="str" cm="1">
        <f t="array" ref="G29">_xlfn.SWITCH(A29,1,"GOLD",2,"SILVER",3,"BRONZE")</f>
        <v>SILVER</v>
      </c>
    </row>
    <row r="30" spans="1:7" x14ac:dyDescent="0.3">
      <c r="A30">
        <v>1</v>
      </c>
      <c r="B30" s="1">
        <v>45513</v>
      </c>
      <c r="C30" t="s">
        <v>75</v>
      </c>
      <c r="D30">
        <v>14</v>
      </c>
      <c r="E30">
        <v>206</v>
      </c>
      <c r="F30">
        <v>1566437</v>
      </c>
      <c r="G30" s="15" t="str" cm="1">
        <f t="array" ref="G30">_xlfn.SWITCH(A30,1,"GOLD",2,"SILVER",3,"BRONZE")</f>
        <v>GOLD</v>
      </c>
    </row>
    <row r="31" spans="1:7" x14ac:dyDescent="0.3">
      <c r="A31">
        <v>1</v>
      </c>
      <c r="B31" s="1">
        <v>45501</v>
      </c>
      <c r="C31" t="s">
        <v>205</v>
      </c>
      <c r="D31">
        <v>216</v>
      </c>
      <c r="E31">
        <v>169</v>
      </c>
      <c r="F31">
        <v>1566997</v>
      </c>
      <c r="G31" s="15" t="str" cm="1">
        <f t="array" ref="G31">_xlfn.SWITCH(A31,1,"GOLD",2,"SILVER",3,"BRONZE")</f>
        <v>GOLD</v>
      </c>
    </row>
    <row r="32" spans="1:7" x14ac:dyDescent="0.3">
      <c r="A32">
        <v>1</v>
      </c>
      <c r="B32" s="1">
        <v>45509</v>
      </c>
      <c r="C32" t="s">
        <v>77</v>
      </c>
      <c r="D32">
        <v>72</v>
      </c>
      <c r="E32">
        <v>238</v>
      </c>
      <c r="F32">
        <v>1567361</v>
      </c>
      <c r="G32" s="15" t="str" cm="1">
        <f t="array" ref="G32">_xlfn.SWITCH(A32,1,"GOLD",2,"SILVER",3,"BRONZE")</f>
        <v>GOLD</v>
      </c>
    </row>
    <row r="33" spans="1:7" x14ac:dyDescent="0.3">
      <c r="A33">
        <v>2</v>
      </c>
      <c r="B33" s="1">
        <v>45509</v>
      </c>
      <c r="C33" t="s">
        <v>78</v>
      </c>
      <c r="D33">
        <v>194</v>
      </c>
      <c r="E33">
        <v>34</v>
      </c>
      <c r="F33">
        <v>1569203</v>
      </c>
      <c r="G33" s="15" t="str" cm="1">
        <f t="array" ref="G33">_xlfn.SWITCH(A33,1,"GOLD",2,"SILVER",3,"BRONZE")</f>
        <v>SILVER</v>
      </c>
    </row>
    <row r="34" spans="1:7" x14ac:dyDescent="0.3">
      <c r="A34">
        <v>3</v>
      </c>
      <c r="B34" s="1">
        <v>45510</v>
      </c>
      <c r="C34" t="s">
        <v>79</v>
      </c>
      <c r="D34">
        <v>54</v>
      </c>
      <c r="E34">
        <v>317</v>
      </c>
      <c r="F34">
        <v>1571506</v>
      </c>
      <c r="G34" s="15" t="str" cm="1">
        <f t="array" ref="G34">_xlfn.SWITCH(A34,1,"GOLD",2,"SILVER",3,"BRONZE")</f>
        <v>BRONZE</v>
      </c>
    </row>
    <row r="35" spans="1:7" x14ac:dyDescent="0.3">
      <c r="A35">
        <v>3</v>
      </c>
      <c r="B35" s="1">
        <v>45508</v>
      </c>
      <c r="C35" t="s">
        <v>80</v>
      </c>
      <c r="D35">
        <v>212</v>
      </c>
      <c r="E35">
        <v>56</v>
      </c>
      <c r="F35">
        <v>1571559</v>
      </c>
      <c r="G35" s="15" t="str" cm="1">
        <f t="array" ref="G35">_xlfn.SWITCH(A35,1,"GOLD",2,"SILVER",3,"BRONZE")</f>
        <v>BRONZE</v>
      </c>
    </row>
    <row r="36" spans="1:7" x14ac:dyDescent="0.3">
      <c r="A36">
        <v>3</v>
      </c>
      <c r="B36" s="1">
        <v>45513</v>
      </c>
      <c r="C36" t="s">
        <v>81</v>
      </c>
      <c r="D36">
        <v>93</v>
      </c>
      <c r="E36">
        <v>286</v>
      </c>
      <c r="F36">
        <v>1572318</v>
      </c>
      <c r="G36" s="15" t="str" cm="1">
        <f t="array" ref="G36">_xlfn.SWITCH(A36,1,"GOLD",2,"SILVER",3,"BRONZE")</f>
        <v>BRONZE</v>
      </c>
    </row>
    <row r="37" spans="1:7" x14ac:dyDescent="0.3">
      <c r="A37">
        <v>2</v>
      </c>
      <c r="B37" s="1">
        <v>45504</v>
      </c>
      <c r="C37" t="s">
        <v>82</v>
      </c>
      <c r="D37">
        <v>194</v>
      </c>
      <c r="E37">
        <v>241</v>
      </c>
      <c r="G37" s="15" t="str" cm="1">
        <f t="array" ref="G37">_xlfn.SWITCH(A37,1,"GOLD",2,"SILVER",3,"BRONZE")</f>
        <v>SILVER</v>
      </c>
    </row>
    <row r="38" spans="1:7" x14ac:dyDescent="0.3">
      <c r="A38">
        <v>2</v>
      </c>
      <c r="B38" s="1">
        <v>45508</v>
      </c>
      <c r="C38" t="s">
        <v>82</v>
      </c>
      <c r="D38">
        <v>194</v>
      </c>
      <c r="E38">
        <v>240</v>
      </c>
      <c r="F38">
        <v>1572557</v>
      </c>
      <c r="G38" s="15" t="str" cm="1">
        <f t="array" ref="G38">_xlfn.SWITCH(A38,1,"GOLD",2,"SILVER",3,"BRONZE")</f>
        <v>SILVER</v>
      </c>
    </row>
    <row r="39" spans="1:7" x14ac:dyDescent="0.3">
      <c r="A39">
        <v>1</v>
      </c>
      <c r="B39" s="1">
        <v>45507</v>
      </c>
      <c r="C39" t="s">
        <v>83</v>
      </c>
      <c r="D39">
        <v>151</v>
      </c>
      <c r="E39">
        <v>41</v>
      </c>
      <c r="F39">
        <v>1878353</v>
      </c>
      <c r="G39" s="15" t="str" cm="1">
        <f t="array" ref="G39">_xlfn.SWITCH(A39,1,"GOLD",2,"SILVER",3,"BRONZE")</f>
        <v>GOLD</v>
      </c>
    </row>
    <row r="40" spans="1:7" x14ac:dyDescent="0.3">
      <c r="A40">
        <v>1</v>
      </c>
      <c r="B40" s="1">
        <v>45512</v>
      </c>
      <c r="C40" t="s">
        <v>84</v>
      </c>
      <c r="D40">
        <v>156</v>
      </c>
      <c r="E40">
        <v>40</v>
      </c>
      <c r="F40">
        <v>1878563</v>
      </c>
      <c r="G40" s="15" t="str" cm="1">
        <f t="array" ref="G40">_xlfn.SWITCH(A40,1,"GOLD",2,"SILVER",3,"BRONZE")</f>
        <v>GOLD</v>
      </c>
    </row>
    <row r="41" spans="1:7" x14ac:dyDescent="0.3">
      <c r="A41">
        <v>1</v>
      </c>
      <c r="B41" s="1">
        <v>45514</v>
      </c>
      <c r="C41" t="s">
        <v>85</v>
      </c>
      <c r="D41">
        <v>151</v>
      </c>
      <c r="E41">
        <v>305</v>
      </c>
      <c r="F41">
        <v>1878625</v>
      </c>
      <c r="G41" s="15" t="str" cm="1">
        <f t="array" ref="G41">_xlfn.SWITCH(A41,1,"GOLD",2,"SILVER",3,"BRONZE")</f>
        <v>GOLD</v>
      </c>
    </row>
    <row r="42" spans="1:7" x14ac:dyDescent="0.3">
      <c r="A42">
        <v>3</v>
      </c>
      <c r="B42" s="1">
        <v>45514</v>
      </c>
      <c r="C42" t="s">
        <v>86</v>
      </c>
      <c r="D42">
        <v>56</v>
      </c>
      <c r="E42">
        <v>102</v>
      </c>
      <c r="F42">
        <v>1878715</v>
      </c>
      <c r="G42" s="15" t="str" cm="1">
        <f t="array" ref="G42">_xlfn.SWITCH(A42,1,"GOLD",2,"SILVER",3,"BRONZE")</f>
        <v>BRONZE</v>
      </c>
    </row>
    <row r="43" spans="1:7" x14ac:dyDescent="0.3">
      <c r="A43">
        <v>3</v>
      </c>
      <c r="B43" s="1">
        <v>45513</v>
      </c>
      <c r="C43" t="s">
        <v>87</v>
      </c>
      <c r="D43">
        <v>56</v>
      </c>
      <c r="E43">
        <v>105</v>
      </c>
      <c r="F43">
        <v>1878716</v>
      </c>
      <c r="G43" s="15" t="str" cm="1">
        <f t="array" ref="G43">_xlfn.SWITCH(A43,1,"GOLD",2,"SILVER",3,"BRONZE")</f>
        <v>BRONZE</v>
      </c>
    </row>
    <row r="44" spans="1:7" x14ac:dyDescent="0.3">
      <c r="A44">
        <v>3</v>
      </c>
      <c r="B44" s="1">
        <v>45502</v>
      </c>
      <c r="C44" t="s">
        <v>88</v>
      </c>
      <c r="D44">
        <v>72</v>
      </c>
      <c r="E44">
        <v>98</v>
      </c>
      <c r="F44">
        <v>1880479</v>
      </c>
      <c r="G44" s="15" t="str" cm="1">
        <f t="array" ref="G44">_xlfn.SWITCH(A44,1,"GOLD",2,"SILVER",3,"BRONZE")</f>
        <v>BRONZE</v>
      </c>
    </row>
    <row r="45" spans="1:7" x14ac:dyDescent="0.3">
      <c r="A45">
        <v>2</v>
      </c>
      <c r="B45" s="1">
        <v>45512</v>
      </c>
      <c r="C45" t="s">
        <v>89</v>
      </c>
      <c r="D45">
        <v>216</v>
      </c>
      <c r="E45">
        <v>281</v>
      </c>
      <c r="F45">
        <v>1887714</v>
      </c>
      <c r="G45" s="15" t="str" cm="1">
        <f t="array" ref="G45">_xlfn.SWITCH(A45,1,"GOLD",2,"SILVER",3,"BRONZE")</f>
        <v>SILVER</v>
      </c>
    </row>
    <row r="46" spans="1:7" x14ac:dyDescent="0.3">
      <c r="A46">
        <v>3</v>
      </c>
      <c r="B46" s="1">
        <v>45514</v>
      </c>
      <c r="C46" t="s">
        <v>90</v>
      </c>
      <c r="D46">
        <v>205</v>
      </c>
      <c r="E46">
        <v>90</v>
      </c>
      <c r="F46">
        <v>1887963</v>
      </c>
      <c r="G46" s="15" t="str" cm="1">
        <f t="array" ref="G46">_xlfn.SWITCH(A46,1,"GOLD",2,"SILVER",3,"BRONZE")</f>
        <v>BRONZE</v>
      </c>
    </row>
    <row r="47" spans="1:7" x14ac:dyDescent="0.3">
      <c r="A47">
        <v>1</v>
      </c>
      <c r="B47" s="1">
        <v>45509</v>
      </c>
      <c r="C47" t="s">
        <v>206</v>
      </c>
      <c r="D47">
        <v>57</v>
      </c>
      <c r="E47">
        <v>70</v>
      </c>
      <c r="F47">
        <v>1888993</v>
      </c>
      <c r="G47" s="15" t="str" cm="1">
        <f t="array" ref="G47">_xlfn.SWITCH(A47,1,"GOLD",2,"SILVER",3,"BRONZE")</f>
        <v>GOLD</v>
      </c>
    </row>
    <row r="48" spans="1:7" x14ac:dyDescent="0.3">
      <c r="A48">
        <v>1</v>
      </c>
      <c r="B48" s="1">
        <v>45871</v>
      </c>
      <c r="C48" t="s">
        <v>92</v>
      </c>
      <c r="D48">
        <v>72</v>
      </c>
      <c r="E48">
        <v>181</v>
      </c>
      <c r="F48">
        <v>1891323</v>
      </c>
      <c r="G48" s="15" t="str" cm="1">
        <f t="array" ref="G48">_xlfn.SWITCH(A48,1,"GOLD",2,"SILVER",3,"BRONZE")</f>
        <v>GOLD</v>
      </c>
    </row>
    <row r="49" spans="1:7" x14ac:dyDescent="0.3">
      <c r="A49">
        <v>2</v>
      </c>
      <c r="B49" s="1">
        <v>45509</v>
      </c>
      <c r="C49" t="s">
        <v>93</v>
      </c>
      <c r="D49">
        <v>113</v>
      </c>
      <c r="E49">
        <v>71</v>
      </c>
      <c r="F49">
        <v>1891498</v>
      </c>
      <c r="G49" s="15" t="str" cm="1">
        <f t="array" ref="G49">_xlfn.SWITCH(A49,1,"GOLD",2,"SILVER",3,"BRONZE")</f>
        <v>SILVER</v>
      </c>
    </row>
    <row r="50" spans="1:7" x14ac:dyDescent="0.3">
      <c r="A50">
        <v>1</v>
      </c>
      <c r="B50" s="1">
        <v>45514</v>
      </c>
      <c r="C50" t="s">
        <v>94</v>
      </c>
      <c r="D50">
        <v>72</v>
      </c>
      <c r="E50">
        <v>287</v>
      </c>
      <c r="F50">
        <v>1893272</v>
      </c>
      <c r="G50" s="15" t="str" cm="1">
        <f t="array" ref="G50">_xlfn.SWITCH(A50,1,"GOLD",2,"SILVER",3,"BRONZE")</f>
        <v>GOLD</v>
      </c>
    </row>
    <row r="51" spans="1:7" x14ac:dyDescent="0.3">
      <c r="A51">
        <v>3</v>
      </c>
      <c r="B51" s="1">
        <v>45502</v>
      </c>
      <c r="C51" t="s">
        <v>95</v>
      </c>
      <c r="D51">
        <v>113</v>
      </c>
      <c r="E51">
        <v>221</v>
      </c>
      <c r="F51">
        <v>1893845</v>
      </c>
      <c r="G51" s="15" t="str" cm="1">
        <f t="array" ref="G51">_xlfn.SWITCH(A51,1,"GOLD",2,"SILVER",3,"BRONZE")</f>
        <v>BRONZE</v>
      </c>
    </row>
    <row r="52" spans="1:7" x14ac:dyDescent="0.3">
      <c r="A52">
        <v>1</v>
      </c>
      <c r="B52" s="1">
        <v>45501</v>
      </c>
      <c r="C52" t="s">
        <v>96</v>
      </c>
      <c r="D52">
        <v>113</v>
      </c>
      <c r="E52">
        <v>223</v>
      </c>
      <c r="F52">
        <v>1893972</v>
      </c>
      <c r="G52" s="15" t="str" cm="1">
        <f t="array" ref="G52">_xlfn.SWITCH(A52,1,"GOLD",2,"SILVER",3,"BRONZE")</f>
        <v>GOLD</v>
      </c>
    </row>
    <row r="53" spans="1:7" x14ac:dyDescent="0.3">
      <c r="A53">
        <v>1</v>
      </c>
      <c r="B53" s="1">
        <v>45507</v>
      </c>
      <c r="C53" t="s">
        <v>97</v>
      </c>
      <c r="D53">
        <v>113</v>
      </c>
      <c r="E53">
        <v>224</v>
      </c>
      <c r="F53">
        <v>1893995</v>
      </c>
      <c r="G53" s="15" t="str" cm="1">
        <f t="array" ref="G53">_xlfn.SWITCH(A53,1,"GOLD",2,"SILVER",3,"BRONZE")</f>
        <v>GOLD</v>
      </c>
    </row>
    <row r="54" spans="1:7" x14ac:dyDescent="0.3">
      <c r="A54">
        <v>1</v>
      </c>
      <c r="B54" s="1">
        <v>45506</v>
      </c>
      <c r="C54" t="s">
        <v>207</v>
      </c>
      <c r="D54">
        <v>72</v>
      </c>
      <c r="E54">
        <v>115</v>
      </c>
      <c r="F54">
        <v>1895661</v>
      </c>
      <c r="G54" s="15" t="str" cm="1">
        <f t="array" ref="G54">_xlfn.SWITCH(A54,1,"GOLD",2,"SILVER",3,"BRONZE")</f>
        <v>GOLD</v>
      </c>
    </row>
    <row r="55" spans="1:7" x14ac:dyDescent="0.3">
      <c r="A55">
        <v>1</v>
      </c>
      <c r="B55" s="1">
        <v>45501</v>
      </c>
      <c r="C55" t="s">
        <v>99</v>
      </c>
      <c r="D55">
        <v>72</v>
      </c>
      <c r="E55">
        <v>117</v>
      </c>
      <c r="F55">
        <v>1895672</v>
      </c>
      <c r="G55" s="15" t="str" cm="1">
        <f t="array" ref="G55">_xlfn.SWITCH(A55,1,"GOLD",2,"SILVER",3,"BRONZE")</f>
        <v>GOLD</v>
      </c>
    </row>
    <row r="56" spans="1:7" x14ac:dyDescent="0.3">
      <c r="A56">
        <v>3</v>
      </c>
      <c r="B56" s="1">
        <v>45512</v>
      </c>
      <c r="C56" t="s">
        <v>100</v>
      </c>
      <c r="D56">
        <v>72</v>
      </c>
      <c r="E56">
        <v>126</v>
      </c>
      <c r="F56">
        <v>1895717</v>
      </c>
      <c r="G56" s="15" t="str" cm="1">
        <f t="array" ref="G56">_xlfn.SWITCH(A56,1,"GOLD",2,"SILVER",3,"BRONZE")</f>
        <v>BRONZE</v>
      </c>
    </row>
    <row r="57" spans="1:7" x14ac:dyDescent="0.3">
      <c r="A57">
        <v>2</v>
      </c>
      <c r="B57" s="1">
        <v>45513</v>
      </c>
      <c r="C57" t="s">
        <v>101</v>
      </c>
      <c r="D57">
        <v>82</v>
      </c>
      <c r="E57">
        <v>187</v>
      </c>
      <c r="F57">
        <v>1896230</v>
      </c>
      <c r="G57" s="15" t="str" cm="1">
        <f t="array" ref="G57">_xlfn.SWITCH(A57,1,"GOLD",2,"SILVER",3,"BRONZE")</f>
        <v>SILVER</v>
      </c>
    </row>
    <row r="58" spans="1:7" x14ac:dyDescent="0.3">
      <c r="A58">
        <v>1</v>
      </c>
      <c r="B58" s="1">
        <v>45501</v>
      </c>
      <c r="C58" t="s">
        <v>102</v>
      </c>
      <c r="D58">
        <v>108</v>
      </c>
      <c r="E58">
        <v>151</v>
      </c>
      <c r="F58">
        <v>1896548</v>
      </c>
      <c r="G58" s="15" t="str" cm="1">
        <f t="array" ref="G58">_xlfn.SWITCH(A58,1,"GOLD",2,"SILVER",3,"BRONZE")</f>
        <v>GOLD</v>
      </c>
    </row>
    <row r="59" spans="1:7" x14ac:dyDescent="0.3">
      <c r="A59">
        <v>1</v>
      </c>
      <c r="B59" s="1">
        <v>45500</v>
      </c>
      <c r="C59" t="s">
        <v>103</v>
      </c>
      <c r="D59">
        <v>108</v>
      </c>
      <c r="E59">
        <v>168</v>
      </c>
      <c r="F59">
        <v>1896735</v>
      </c>
      <c r="G59" s="15" t="str" cm="1">
        <f t="array" ref="G59">_xlfn.SWITCH(A59,1,"GOLD",2,"SILVER",3,"BRONZE")</f>
        <v>GOLD</v>
      </c>
    </row>
    <row r="60" spans="1:7" x14ac:dyDescent="0.3">
      <c r="A60">
        <v>1</v>
      </c>
      <c r="B60" s="1">
        <v>45501</v>
      </c>
      <c r="C60" t="s">
        <v>104</v>
      </c>
      <c r="D60">
        <v>108</v>
      </c>
      <c r="E60">
        <v>176</v>
      </c>
      <c r="F60">
        <v>1896763</v>
      </c>
      <c r="G60" s="15" t="str" cm="1">
        <f t="array" ref="G60">_xlfn.SWITCH(A60,1,"GOLD",2,"SILVER",3,"BRONZE")</f>
        <v>GOLD</v>
      </c>
    </row>
    <row r="61" spans="1:7" x14ac:dyDescent="0.3">
      <c r="A61">
        <v>2</v>
      </c>
      <c r="B61" s="1">
        <v>45503</v>
      </c>
      <c r="C61" t="s">
        <v>208</v>
      </c>
      <c r="D61">
        <v>108</v>
      </c>
      <c r="E61">
        <v>178</v>
      </c>
      <c r="F61">
        <v>1896765</v>
      </c>
      <c r="G61" s="15" t="str" cm="1">
        <f t="array" ref="G61">_xlfn.SWITCH(A61,1,"GOLD",2,"SILVER",3,"BRONZE")</f>
        <v>SILVER</v>
      </c>
    </row>
    <row r="62" spans="1:7" x14ac:dyDescent="0.3">
      <c r="A62">
        <v>1</v>
      </c>
      <c r="B62" s="1">
        <v>45514</v>
      </c>
      <c r="C62" t="s">
        <v>106</v>
      </c>
      <c r="D62">
        <v>151</v>
      </c>
      <c r="E62">
        <v>27</v>
      </c>
      <c r="F62">
        <v>1898250</v>
      </c>
      <c r="G62" s="15" t="str" cm="1">
        <f t="array" ref="G62">_xlfn.SWITCH(A62,1,"GOLD",2,"SILVER",3,"BRONZE")</f>
        <v>GOLD</v>
      </c>
    </row>
    <row r="63" spans="1:7" x14ac:dyDescent="0.3">
      <c r="A63">
        <v>2</v>
      </c>
      <c r="B63" s="1">
        <v>45504</v>
      </c>
      <c r="C63" t="s">
        <v>107</v>
      </c>
      <c r="D63">
        <v>53</v>
      </c>
      <c r="E63">
        <v>172</v>
      </c>
      <c r="F63">
        <v>1898499</v>
      </c>
      <c r="G63" s="15" t="str" cm="1">
        <f t="array" ref="G63">_xlfn.SWITCH(A63,1,"GOLD",2,"SILVER",3,"BRONZE")</f>
        <v>SILVER</v>
      </c>
    </row>
    <row r="64" spans="1:7" x14ac:dyDescent="0.3">
      <c r="A64">
        <v>1</v>
      </c>
      <c r="B64" s="1">
        <v>45507</v>
      </c>
      <c r="C64" t="s">
        <v>108</v>
      </c>
      <c r="D64">
        <v>104</v>
      </c>
      <c r="E64">
        <v>209</v>
      </c>
      <c r="F64">
        <v>1899653</v>
      </c>
      <c r="G64" s="15" t="str" cm="1">
        <f t="array" ref="G64">_xlfn.SWITCH(A64,1,"GOLD",2,"SILVER",3,"BRONZE")</f>
        <v>GOLD</v>
      </c>
    </row>
    <row r="65" spans="1:7" x14ac:dyDescent="0.3">
      <c r="A65">
        <v>1</v>
      </c>
      <c r="B65" s="1">
        <v>45513</v>
      </c>
      <c r="C65" t="s">
        <v>109</v>
      </c>
      <c r="D65">
        <v>60</v>
      </c>
      <c r="E65">
        <v>47</v>
      </c>
      <c r="F65">
        <v>1899666</v>
      </c>
      <c r="G65" s="15" t="str" cm="1">
        <f t="array" ref="G65">_xlfn.SWITCH(A65,1,"GOLD",2,"SILVER",3,"BRONZE")</f>
        <v>GOLD</v>
      </c>
    </row>
    <row r="66" spans="1:7" x14ac:dyDescent="0.3">
      <c r="A66">
        <v>1</v>
      </c>
      <c r="B66" s="1">
        <v>45512</v>
      </c>
      <c r="C66" t="s">
        <v>209</v>
      </c>
      <c r="D66">
        <v>77</v>
      </c>
      <c r="E66">
        <v>210</v>
      </c>
      <c r="F66">
        <v>1899728</v>
      </c>
      <c r="G66" s="15" t="str" cm="1">
        <f t="array" ref="G66">_xlfn.SWITCH(A66,1,"GOLD",2,"SILVER",3,"BRONZE")</f>
        <v>GOLD</v>
      </c>
    </row>
    <row r="67" spans="1:7" x14ac:dyDescent="0.3">
      <c r="A67">
        <v>1</v>
      </c>
      <c r="B67" s="1">
        <v>45514</v>
      </c>
      <c r="C67" t="s">
        <v>111</v>
      </c>
      <c r="D67">
        <v>68</v>
      </c>
      <c r="E67">
        <v>29</v>
      </c>
      <c r="F67">
        <v>1901284</v>
      </c>
      <c r="G67" s="15" t="str" cm="1">
        <f t="array" ref="G67">_xlfn.SWITCH(A67,1,"GOLD",2,"SILVER",3,"BRONZE")</f>
        <v>GOLD</v>
      </c>
    </row>
    <row r="68" spans="1:7" x14ac:dyDescent="0.3">
      <c r="A68">
        <v>3</v>
      </c>
      <c r="B68" s="1">
        <v>45513</v>
      </c>
      <c r="C68" t="s">
        <v>112</v>
      </c>
      <c r="D68">
        <v>42</v>
      </c>
      <c r="E68">
        <v>134</v>
      </c>
      <c r="F68">
        <v>1901538</v>
      </c>
      <c r="G68" s="15" t="str" cm="1">
        <f t="array" ref="G68">_xlfn.SWITCH(A68,1,"GOLD",2,"SILVER",3,"BRONZE")</f>
        <v>BRONZE</v>
      </c>
    </row>
    <row r="69" spans="1:7" x14ac:dyDescent="0.3">
      <c r="A69">
        <v>3</v>
      </c>
      <c r="B69" s="1">
        <v>45510</v>
      </c>
      <c r="C69" t="s">
        <v>113</v>
      </c>
      <c r="D69">
        <v>42</v>
      </c>
      <c r="E69">
        <v>135</v>
      </c>
      <c r="F69">
        <v>1901545</v>
      </c>
      <c r="G69" s="15" t="str" cm="1">
        <f t="array" ref="G69">_xlfn.SWITCH(A69,1,"GOLD",2,"SILVER",3,"BRONZE")</f>
        <v>BRONZE</v>
      </c>
    </row>
    <row r="70" spans="1:7" x14ac:dyDescent="0.3">
      <c r="A70">
        <v>3</v>
      </c>
      <c r="B70" s="1">
        <v>45512</v>
      </c>
      <c r="C70" t="s">
        <v>114</v>
      </c>
      <c r="D70">
        <v>42</v>
      </c>
      <c r="E70">
        <v>138</v>
      </c>
      <c r="F70">
        <v>1901550</v>
      </c>
      <c r="G70" s="15" t="str" cm="1">
        <f t="array" ref="G70">_xlfn.SWITCH(A70,1,"GOLD",2,"SILVER",3,"BRONZE")</f>
        <v>BRONZE</v>
      </c>
    </row>
    <row r="71" spans="1:7" x14ac:dyDescent="0.3">
      <c r="A71">
        <v>2</v>
      </c>
      <c r="B71" s="1">
        <v>45514</v>
      </c>
      <c r="C71" t="s">
        <v>115</v>
      </c>
      <c r="D71">
        <v>42</v>
      </c>
      <c r="E71">
        <v>139</v>
      </c>
      <c r="F71">
        <v>1901556</v>
      </c>
      <c r="G71" s="15" t="str" cm="1">
        <f t="array" ref="G71">_xlfn.SWITCH(A71,1,"GOLD",2,"SILVER",3,"BRONZE")</f>
        <v>SILVER</v>
      </c>
    </row>
    <row r="72" spans="1:7" x14ac:dyDescent="0.3">
      <c r="A72">
        <v>3</v>
      </c>
      <c r="B72" s="1">
        <v>45501</v>
      </c>
      <c r="C72" t="s">
        <v>116</v>
      </c>
      <c r="D72">
        <v>108</v>
      </c>
      <c r="E72">
        <v>230</v>
      </c>
      <c r="F72">
        <v>1902055</v>
      </c>
      <c r="G72" s="15" t="str" cm="1">
        <f t="array" ref="G72">_xlfn.SWITCH(A72,1,"GOLD",2,"SILVER",3,"BRONZE")</f>
        <v>BRONZE</v>
      </c>
    </row>
    <row r="73" spans="1:7" x14ac:dyDescent="0.3">
      <c r="A73">
        <v>2</v>
      </c>
      <c r="B73" s="1">
        <v>45502</v>
      </c>
      <c r="C73" t="s">
        <v>210</v>
      </c>
      <c r="D73">
        <v>108</v>
      </c>
      <c r="E73">
        <v>231</v>
      </c>
      <c r="F73">
        <v>1902081</v>
      </c>
      <c r="G73" s="15" t="str" cm="1">
        <f t="array" ref="G73">_xlfn.SWITCH(A73,1,"GOLD",2,"SILVER",3,"BRONZE")</f>
        <v>SILVER</v>
      </c>
    </row>
    <row r="74" spans="1:7" x14ac:dyDescent="0.3">
      <c r="A74">
        <v>3</v>
      </c>
      <c r="B74" s="1">
        <v>45508</v>
      </c>
      <c r="C74" t="s">
        <v>118</v>
      </c>
      <c r="D74">
        <v>113</v>
      </c>
      <c r="E74">
        <v>1</v>
      </c>
      <c r="F74">
        <v>1902135</v>
      </c>
      <c r="G74" s="15" t="str" cm="1">
        <f t="array" ref="G74">_xlfn.SWITCH(A74,1,"GOLD",2,"SILVER",3,"BRONZE")</f>
        <v>BRONZE</v>
      </c>
    </row>
    <row r="75" spans="1:7" x14ac:dyDescent="0.3">
      <c r="A75">
        <v>3</v>
      </c>
      <c r="B75" s="1">
        <v>45507</v>
      </c>
      <c r="C75" t="s">
        <v>119</v>
      </c>
      <c r="D75">
        <v>113</v>
      </c>
      <c r="E75">
        <v>2</v>
      </c>
      <c r="F75">
        <v>1902147</v>
      </c>
      <c r="G75" s="15" t="str" cm="1">
        <f t="array" ref="G75">_xlfn.SWITCH(A75,1,"GOLD",2,"SILVER",3,"BRONZE")</f>
        <v>BRONZE</v>
      </c>
    </row>
    <row r="76" spans="1:7" x14ac:dyDescent="0.3">
      <c r="A76">
        <v>3</v>
      </c>
      <c r="B76" s="1">
        <v>45508</v>
      </c>
      <c r="C76" t="s">
        <v>120</v>
      </c>
      <c r="D76">
        <v>42</v>
      </c>
      <c r="E76">
        <v>275</v>
      </c>
      <c r="F76">
        <v>1902295</v>
      </c>
      <c r="G76" s="15" t="str" cm="1">
        <f t="array" ref="G76">_xlfn.SWITCH(A76,1,"GOLD",2,"SILVER",3,"BRONZE")</f>
        <v>BRONZE</v>
      </c>
    </row>
    <row r="77" spans="1:7" x14ac:dyDescent="0.3">
      <c r="A77">
        <v>3</v>
      </c>
      <c r="B77" s="1">
        <v>45507</v>
      </c>
      <c r="C77" t="s">
        <v>121</v>
      </c>
      <c r="D77">
        <v>42</v>
      </c>
      <c r="E77">
        <v>276</v>
      </c>
      <c r="F77">
        <v>1902307</v>
      </c>
      <c r="G77" s="15" t="str" cm="1">
        <f t="array" ref="G77">_xlfn.SWITCH(A77,1,"GOLD",2,"SILVER",3,"BRONZE")</f>
        <v>BRONZE</v>
      </c>
    </row>
    <row r="78" spans="1:7" x14ac:dyDescent="0.3">
      <c r="A78">
        <v>1</v>
      </c>
      <c r="B78" s="1">
        <v>45511</v>
      </c>
      <c r="C78" t="s">
        <v>122</v>
      </c>
      <c r="D78">
        <v>200</v>
      </c>
      <c r="E78">
        <v>284</v>
      </c>
      <c r="F78">
        <v>1902841</v>
      </c>
      <c r="G78" s="15" t="str" cm="1">
        <f t="array" ref="G78">_xlfn.SWITCH(A78,1,"GOLD",2,"SILVER",3,"BRONZE")</f>
        <v>GOLD</v>
      </c>
    </row>
    <row r="79" spans="1:7" x14ac:dyDescent="0.3">
      <c r="A79">
        <v>3</v>
      </c>
      <c r="B79" s="1">
        <v>45513</v>
      </c>
      <c r="C79" t="s">
        <v>123</v>
      </c>
      <c r="D79">
        <v>33</v>
      </c>
      <c r="E79">
        <v>309</v>
      </c>
      <c r="F79">
        <v>1903011</v>
      </c>
      <c r="G79" s="15" t="str" cm="1">
        <f t="array" ref="G79">_xlfn.SWITCH(A79,1,"GOLD",2,"SILVER",3,"BRONZE")</f>
        <v>BRONZE</v>
      </c>
    </row>
    <row r="80" spans="1:7" x14ac:dyDescent="0.3">
      <c r="A80">
        <v>1</v>
      </c>
      <c r="B80" s="1">
        <v>45513</v>
      </c>
      <c r="C80" t="s">
        <v>124</v>
      </c>
      <c r="D80">
        <v>20</v>
      </c>
      <c r="E80">
        <v>64</v>
      </c>
      <c r="F80">
        <v>1903112</v>
      </c>
      <c r="G80" s="15" t="str" cm="1">
        <f t="array" ref="G80">_xlfn.SWITCH(A80,1,"GOLD",2,"SILVER",3,"BRONZE")</f>
        <v>GOLD</v>
      </c>
    </row>
    <row r="81" spans="1:7" x14ac:dyDescent="0.3">
      <c r="A81">
        <v>3</v>
      </c>
      <c r="B81" s="1">
        <v>45500</v>
      </c>
      <c r="C81" t="s">
        <v>125</v>
      </c>
      <c r="D81">
        <v>20</v>
      </c>
      <c r="E81">
        <v>120</v>
      </c>
      <c r="F81">
        <v>1903136</v>
      </c>
      <c r="G81" s="15" t="str" cm="1">
        <f t="array" ref="G81">_xlfn.SWITCH(A81,1,"GOLD",2,"SILVER",3,"BRONZE")</f>
        <v>BRONZE</v>
      </c>
    </row>
    <row r="82" spans="1:7" x14ac:dyDescent="0.3">
      <c r="A82">
        <v>2</v>
      </c>
      <c r="B82" s="1">
        <v>45507</v>
      </c>
      <c r="C82" t="s">
        <v>125</v>
      </c>
      <c r="D82">
        <v>20</v>
      </c>
      <c r="E82">
        <v>118</v>
      </c>
      <c r="F82">
        <v>1903136</v>
      </c>
      <c r="G82" s="15" t="str" cm="1">
        <f t="array" ref="G82">_xlfn.SWITCH(A82,1,"GOLD",2,"SILVER",3,"BRONZE")</f>
        <v>SILVER</v>
      </c>
    </row>
    <row r="83" spans="1:7" x14ac:dyDescent="0.3">
      <c r="A83">
        <v>3</v>
      </c>
      <c r="B83" s="1">
        <v>45512</v>
      </c>
      <c r="C83" t="s">
        <v>126</v>
      </c>
      <c r="D83">
        <v>113</v>
      </c>
      <c r="E83">
        <v>285</v>
      </c>
      <c r="F83">
        <v>1904038</v>
      </c>
      <c r="G83" s="15" t="str" cm="1">
        <f t="array" ref="G83">_xlfn.SWITCH(A83,1,"GOLD",2,"SILVER",3,"BRONZE")</f>
        <v>BRONZE</v>
      </c>
    </row>
    <row r="84" spans="1:7" x14ac:dyDescent="0.3">
      <c r="A84">
        <v>1</v>
      </c>
      <c r="B84" s="1">
        <v>45511</v>
      </c>
      <c r="C84" t="s">
        <v>127</v>
      </c>
      <c r="D84">
        <v>113</v>
      </c>
      <c r="E84">
        <v>280</v>
      </c>
      <c r="F84">
        <v>1904040</v>
      </c>
      <c r="G84" s="15" t="str" cm="1">
        <f t="array" ref="G84">_xlfn.SWITCH(A84,1,"GOLD",2,"SILVER",3,"BRONZE")</f>
        <v>GOLD</v>
      </c>
    </row>
    <row r="85" spans="1:7" x14ac:dyDescent="0.3">
      <c r="A85">
        <v>3</v>
      </c>
      <c r="B85" s="1">
        <v>45513</v>
      </c>
      <c r="C85" t="s">
        <v>211</v>
      </c>
      <c r="D85">
        <v>66</v>
      </c>
      <c r="E85">
        <v>36</v>
      </c>
      <c r="F85">
        <v>1904099</v>
      </c>
      <c r="G85" s="15" t="str" cm="1">
        <f t="array" ref="G85">_xlfn.SWITCH(A85,1,"GOLD",2,"SILVER",3,"BRONZE")</f>
        <v>BRONZE</v>
      </c>
    </row>
    <row r="86" spans="1:7" x14ac:dyDescent="0.3">
      <c r="A86">
        <v>1</v>
      </c>
      <c r="B86" s="1">
        <v>45504</v>
      </c>
      <c r="C86" t="s">
        <v>129</v>
      </c>
      <c r="D86">
        <v>77</v>
      </c>
      <c r="E86">
        <v>296</v>
      </c>
      <c r="F86">
        <v>1904251</v>
      </c>
      <c r="G86" s="15" t="str" cm="1">
        <f t="array" ref="G86">_xlfn.SWITCH(A86,1,"GOLD",2,"SILVER",3,"BRONZE")</f>
        <v>GOLD</v>
      </c>
    </row>
    <row r="87" spans="1:7" x14ac:dyDescent="0.3">
      <c r="A87">
        <v>3</v>
      </c>
      <c r="B87" s="1">
        <v>45503</v>
      </c>
      <c r="C87" t="s">
        <v>130</v>
      </c>
      <c r="D87">
        <v>77</v>
      </c>
      <c r="E87">
        <v>219</v>
      </c>
      <c r="F87">
        <v>1904430</v>
      </c>
      <c r="G87" s="15" t="str" cm="1">
        <f t="array" ref="G87">_xlfn.SWITCH(A87,1,"GOLD",2,"SILVER",3,"BRONZE")</f>
        <v>BRONZE</v>
      </c>
    </row>
    <row r="88" spans="1:7" x14ac:dyDescent="0.3">
      <c r="A88">
        <v>3</v>
      </c>
      <c r="B88" s="1">
        <v>45506</v>
      </c>
      <c r="C88" t="s">
        <v>131</v>
      </c>
      <c r="D88">
        <v>77</v>
      </c>
      <c r="E88">
        <v>294</v>
      </c>
      <c r="F88">
        <v>1904745</v>
      </c>
      <c r="G88" s="15" t="str" cm="1">
        <f t="array" ref="G88">_xlfn.SWITCH(A88,1,"GOLD",2,"SILVER",3,"BRONZE")</f>
        <v>BRONZE</v>
      </c>
    </row>
    <row r="89" spans="1:7" x14ac:dyDescent="0.3">
      <c r="A89">
        <v>1</v>
      </c>
      <c r="B89" s="1">
        <v>45505</v>
      </c>
      <c r="C89" t="s">
        <v>132</v>
      </c>
      <c r="D89">
        <v>93</v>
      </c>
      <c r="E89">
        <v>264</v>
      </c>
      <c r="F89">
        <v>1904977</v>
      </c>
      <c r="G89" s="15" t="str" cm="1">
        <f t="array" ref="G89">_xlfn.SWITCH(A89,1,"GOLD",2,"SILVER",3,"BRONZE")</f>
        <v>GOLD</v>
      </c>
    </row>
    <row r="90" spans="1:7" x14ac:dyDescent="0.3">
      <c r="A90">
        <v>3</v>
      </c>
      <c r="B90" s="1">
        <v>45507</v>
      </c>
      <c r="C90" t="s">
        <v>133</v>
      </c>
      <c r="D90">
        <v>93</v>
      </c>
      <c r="E90">
        <v>267</v>
      </c>
      <c r="F90">
        <v>1905860</v>
      </c>
      <c r="G90" s="15" t="str" cm="1">
        <f t="array" ref="G90">_xlfn.SWITCH(A90,1,"GOLD",2,"SILVER",3,"BRONZE")</f>
        <v>BRONZE</v>
      </c>
    </row>
    <row r="91" spans="1:7" x14ac:dyDescent="0.3">
      <c r="A91">
        <v>1</v>
      </c>
      <c r="B91" s="1">
        <v>45507</v>
      </c>
      <c r="C91" t="s">
        <v>134</v>
      </c>
      <c r="D91">
        <v>82</v>
      </c>
      <c r="E91">
        <v>196</v>
      </c>
      <c r="F91">
        <v>1906515</v>
      </c>
      <c r="G91" s="15" t="str" cm="1">
        <f t="array" ref="G91">_xlfn.SWITCH(A91,1,"GOLD",2,"SILVER",3,"BRONZE")</f>
        <v>GOLD</v>
      </c>
    </row>
    <row r="92" spans="1:7" x14ac:dyDescent="0.3">
      <c r="A92">
        <v>1</v>
      </c>
      <c r="B92" s="1">
        <v>45500</v>
      </c>
      <c r="C92" t="s">
        <v>135</v>
      </c>
      <c r="D92">
        <v>82</v>
      </c>
      <c r="E92">
        <v>260</v>
      </c>
      <c r="F92">
        <v>1907192</v>
      </c>
      <c r="G92" s="15" t="str" cm="1">
        <f t="array" ref="G92">_xlfn.SWITCH(A92,1,"GOLD",2,"SILVER",3,"BRONZE")</f>
        <v>GOLD</v>
      </c>
    </row>
    <row r="93" spans="1:7" x14ac:dyDescent="0.3">
      <c r="A93">
        <v>1</v>
      </c>
      <c r="B93" s="1">
        <v>45507</v>
      </c>
      <c r="C93" t="s">
        <v>136</v>
      </c>
      <c r="D93">
        <v>59</v>
      </c>
      <c r="E93">
        <v>59</v>
      </c>
      <c r="F93">
        <v>1908333</v>
      </c>
      <c r="G93" s="15" t="str" cm="1">
        <f t="array" ref="G93">_xlfn.SWITCH(A93,1,"GOLD",2,"SILVER",3,"BRONZE")</f>
        <v>GOLD</v>
      </c>
    </row>
    <row r="94" spans="1:7" x14ac:dyDescent="0.3">
      <c r="A94">
        <v>1</v>
      </c>
      <c r="B94" s="1">
        <v>45513</v>
      </c>
      <c r="C94" t="s">
        <v>137</v>
      </c>
      <c r="D94">
        <v>93</v>
      </c>
      <c r="E94">
        <v>184</v>
      </c>
      <c r="F94">
        <v>1909030</v>
      </c>
      <c r="G94" s="15" t="str" cm="1">
        <f t="array" ref="G94">_xlfn.SWITCH(A94,1,"GOLD",2,"SILVER",3,"BRONZE")</f>
        <v>GOLD</v>
      </c>
    </row>
    <row r="95" spans="1:7" x14ac:dyDescent="0.3">
      <c r="A95">
        <v>2</v>
      </c>
      <c r="B95" s="1">
        <v>45504</v>
      </c>
      <c r="C95" t="s">
        <v>138</v>
      </c>
      <c r="D95">
        <v>72</v>
      </c>
      <c r="E95">
        <v>266</v>
      </c>
      <c r="F95">
        <v>1909294</v>
      </c>
      <c r="G95" s="15" t="str" cm="1">
        <f t="array" ref="G95">_xlfn.SWITCH(A95,1,"GOLD",2,"SILVER",3,"BRONZE")</f>
        <v>SILVER</v>
      </c>
    </row>
    <row r="96" spans="1:7" x14ac:dyDescent="0.3">
      <c r="A96">
        <v>1</v>
      </c>
      <c r="B96" s="1">
        <v>45501</v>
      </c>
      <c r="C96" t="s">
        <v>138</v>
      </c>
      <c r="D96">
        <v>72</v>
      </c>
      <c r="E96">
        <v>270</v>
      </c>
      <c r="F96">
        <v>1909294</v>
      </c>
      <c r="G96" s="15" t="str" cm="1">
        <f t="array" ref="G96">_xlfn.SWITCH(A96,1,"GOLD",2,"SILVER",3,"BRONZE")</f>
        <v>GOLD</v>
      </c>
    </row>
    <row r="97" spans="1:7" x14ac:dyDescent="0.3">
      <c r="A97">
        <v>2</v>
      </c>
      <c r="B97" s="1">
        <v>45504</v>
      </c>
      <c r="C97" t="s">
        <v>138</v>
      </c>
      <c r="D97">
        <v>72</v>
      </c>
      <c r="E97">
        <v>268</v>
      </c>
      <c r="F97">
        <v>1909294</v>
      </c>
      <c r="G97" s="15" t="str" cm="1">
        <f t="array" ref="G97">_xlfn.SWITCH(A97,1,"GOLD",2,"SILVER",3,"BRONZE")</f>
        <v>SILVER</v>
      </c>
    </row>
    <row r="98" spans="1:7" x14ac:dyDescent="0.3">
      <c r="A98">
        <v>1</v>
      </c>
      <c r="B98" s="1">
        <v>45506</v>
      </c>
      <c r="C98" t="s">
        <v>138</v>
      </c>
      <c r="D98">
        <v>72</v>
      </c>
      <c r="E98">
        <v>269</v>
      </c>
      <c r="F98">
        <v>1909294</v>
      </c>
      <c r="G98" s="15" t="str" cm="1">
        <f t="array" ref="G98">_xlfn.SWITCH(A98,1,"GOLD",2,"SILVER",3,"BRONZE")</f>
        <v>GOLD</v>
      </c>
    </row>
    <row r="99" spans="1:7" x14ac:dyDescent="0.3">
      <c r="A99">
        <v>2</v>
      </c>
      <c r="B99" s="1">
        <v>45514</v>
      </c>
      <c r="C99" t="s">
        <v>139</v>
      </c>
      <c r="D99">
        <v>110</v>
      </c>
      <c r="E99">
        <v>25</v>
      </c>
      <c r="F99">
        <v>1910412</v>
      </c>
      <c r="G99" s="15" t="str" cm="1">
        <f t="array" ref="G99">_xlfn.SWITCH(A99,1,"GOLD",2,"SILVER",3,"BRONZE")</f>
        <v>SILVER</v>
      </c>
    </row>
    <row r="100" spans="1:7" x14ac:dyDescent="0.3">
      <c r="A100">
        <v>1</v>
      </c>
      <c r="B100" s="1">
        <v>45514</v>
      </c>
      <c r="C100" t="s">
        <v>140</v>
      </c>
      <c r="D100">
        <v>110</v>
      </c>
      <c r="E100">
        <v>49</v>
      </c>
      <c r="F100">
        <v>1910451</v>
      </c>
      <c r="G100" s="15" t="str" cm="1">
        <f t="array" ref="G100">_xlfn.SWITCH(A100,1,"GOLD",2,"SILVER",3,"BRONZE")</f>
        <v>GOLD</v>
      </c>
    </row>
    <row r="101" spans="1:7" x14ac:dyDescent="0.3">
      <c r="A101">
        <v>3</v>
      </c>
      <c r="B101" s="1">
        <v>45509</v>
      </c>
      <c r="C101" t="s">
        <v>141</v>
      </c>
      <c r="D101">
        <v>110</v>
      </c>
      <c r="E101">
        <v>50</v>
      </c>
      <c r="F101">
        <v>1910560</v>
      </c>
      <c r="G101" s="15" t="str" cm="1">
        <f t="array" ref="G101">_xlfn.SWITCH(A101,1,"GOLD",2,"SILVER",3,"BRONZE")</f>
        <v>BRONZE</v>
      </c>
    </row>
    <row r="102" spans="1:7" x14ac:dyDescent="0.3">
      <c r="A102">
        <v>2</v>
      </c>
      <c r="B102" s="1">
        <v>45513</v>
      </c>
      <c r="C102" t="s">
        <v>141</v>
      </c>
      <c r="D102">
        <v>110</v>
      </c>
      <c r="E102">
        <v>51</v>
      </c>
      <c r="F102">
        <v>1910560</v>
      </c>
      <c r="G102" s="15" t="str" cm="1">
        <f t="array" ref="G102">_xlfn.SWITCH(A102,1,"GOLD",2,"SILVER",3,"BRONZE")</f>
        <v>SILVER</v>
      </c>
    </row>
    <row r="103" spans="1:7" x14ac:dyDescent="0.3">
      <c r="A103">
        <v>1</v>
      </c>
      <c r="B103" s="1">
        <v>45511</v>
      </c>
      <c r="C103" t="s">
        <v>142</v>
      </c>
      <c r="D103">
        <v>106</v>
      </c>
      <c r="E103">
        <v>38</v>
      </c>
      <c r="F103">
        <v>1912322</v>
      </c>
      <c r="G103" s="15" t="str" cm="1">
        <f t="array" ref="G103">_xlfn.SWITCH(A103,1,"GOLD",2,"SILVER",3,"BRONZE")</f>
        <v>GOLD</v>
      </c>
    </row>
    <row r="104" spans="1:7" x14ac:dyDescent="0.3">
      <c r="A104">
        <v>3</v>
      </c>
      <c r="B104" s="1">
        <v>45502</v>
      </c>
      <c r="C104" t="s">
        <v>143</v>
      </c>
      <c r="D104">
        <v>77</v>
      </c>
      <c r="E104">
        <v>116</v>
      </c>
      <c r="F104">
        <v>1912546</v>
      </c>
      <c r="G104" s="15" t="str" cm="1">
        <f t="array" ref="G104">_xlfn.SWITCH(A104,1,"GOLD",2,"SILVER",3,"BRONZE")</f>
        <v>BRONZE</v>
      </c>
    </row>
    <row r="105" spans="1:7" x14ac:dyDescent="0.3">
      <c r="A105">
        <v>1</v>
      </c>
      <c r="B105" s="1">
        <v>45502</v>
      </c>
      <c r="C105" t="s">
        <v>144</v>
      </c>
      <c r="D105">
        <v>42</v>
      </c>
      <c r="E105">
        <v>215</v>
      </c>
      <c r="F105">
        <v>1913899</v>
      </c>
      <c r="G105" s="15" t="str" cm="1">
        <f t="array" ref="G105">_xlfn.SWITCH(A105,1,"GOLD",2,"SILVER",3,"BRONZE")</f>
        <v>GOLD</v>
      </c>
    </row>
    <row r="106" spans="1:7" x14ac:dyDescent="0.3">
      <c r="A106">
        <v>1</v>
      </c>
      <c r="B106" s="1">
        <v>45501</v>
      </c>
      <c r="C106" t="s">
        <v>145</v>
      </c>
      <c r="D106">
        <v>42</v>
      </c>
      <c r="E106">
        <v>217</v>
      </c>
      <c r="F106">
        <v>1913907</v>
      </c>
      <c r="G106" s="15" t="str" cm="1">
        <f t="array" ref="G106">_xlfn.SWITCH(A106,1,"GOLD",2,"SILVER",3,"BRONZE")</f>
        <v>GOLD</v>
      </c>
    </row>
    <row r="107" spans="1:7" x14ac:dyDescent="0.3">
      <c r="A107">
        <v>1</v>
      </c>
      <c r="B107" s="1">
        <v>45509</v>
      </c>
      <c r="C107" t="s">
        <v>146</v>
      </c>
      <c r="D107">
        <v>42</v>
      </c>
      <c r="E107">
        <v>218</v>
      </c>
      <c r="F107">
        <v>1913913</v>
      </c>
      <c r="G107" s="15" t="str" cm="1">
        <f t="array" ref="G107">_xlfn.SWITCH(A107,1,"GOLD",2,"SILVER",3,"BRONZE")</f>
        <v>GOLD</v>
      </c>
    </row>
    <row r="108" spans="1:7" x14ac:dyDescent="0.3">
      <c r="A108">
        <v>1</v>
      </c>
      <c r="B108" s="1">
        <v>45870</v>
      </c>
      <c r="C108" t="s">
        <v>147</v>
      </c>
      <c r="D108">
        <v>42</v>
      </c>
      <c r="E108">
        <v>216</v>
      </c>
      <c r="F108">
        <v>1913922</v>
      </c>
      <c r="G108" s="15" t="str" cm="1">
        <f t="array" ref="G108">_xlfn.SWITCH(A108,1,"GOLD",2,"SILVER",3,"BRONZE")</f>
        <v>GOLD</v>
      </c>
    </row>
    <row r="109" spans="1:7" x14ac:dyDescent="0.3">
      <c r="A109">
        <v>1</v>
      </c>
      <c r="B109" s="1">
        <v>45510</v>
      </c>
      <c r="C109" t="s">
        <v>148</v>
      </c>
      <c r="D109">
        <v>82</v>
      </c>
      <c r="E109">
        <v>147</v>
      </c>
      <c r="F109">
        <v>1914912</v>
      </c>
      <c r="G109" s="15" t="str" cm="1">
        <f t="array" ref="G109">_xlfn.SWITCH(A109,1,"GOLD",2,"SILVER",3,"BRONZE")</f>
        <v>GOLD</v>
      </c>
    </row>
    <row r="110" spans="1:7" x14ac:dyDescent="0.3">
      <c r="A110">
        <v>1</v>
      </c>
      <c r="B110" s="1">
        <v>45502</v>
      </c>
      <c r="C110" t="s">
        <v>149</v>
      </c>
      <c r="D110">
        <v>82</v>
      </c>
      <c r="E110">
        <v>143</v>
      </c>
      <c r="F110">
        <v>1914921</v>
      </c>
      <c r="G110" s="15" t="str" cm="1">
        <f t="array" ref="G110">_xlfn.SWITCH(A110,1,"GOLD",2,"SILVER",3,"BRONZE")</f>
        <v>GOLD</v>
      </c>
    </row>
    <row r="111" spans="1:7" x14ac:dyDescent="0.3">
      <c r="A111">
        <v>3</v>
      </c>
      <c r="B111" s="1">
        <v>45502</v>
      </c>
      <c r="C111" t="s">
        <v>150</v>
      </c>
      <c r="D111">
        <v>72</v>
      </c>
      <c r="E111">
        <v>150</v>
      </c>
      <c r="F111">
        <v>1916223</v>
      </c>
      <c r="G111" s="15" t="str" cm="1">
        <f t="array" ref="G111">_xlfn.SWITCH(A111,1,"GOLD",2,"SILVER",3,"BRONZE")</f>
        <v>BRONZE</v>
      </c>
    </row>
    <row r="112" spans="1:7" x14ac:dyDescent="0.3">
      <c r="A112">
        <v>1</v>
      </c>
      <c r="B112" s="1">
        <v>45504</v>
      </c>
      <c r="C112" t="s">
        <v>212</v>
      </c>
      <c r="D112">
        <v>9</v>
      </c>
      <c r="E112">
        <v>113</v>
      </c>
      <c r="F112">
        <v>1916809</v>
      </c>
      <c r="G112" s="15" t="str" cm="1">
        <f t="array" ref="G112">_xlfn.SWITCH(A112,1,"GOLD",2,"SILVER",3,"BRONZE")</f>
        <v>GOLD</v>
      </c>
    </row>
    <row r="113" spans="1:7" x14ac:dyDescent="0.3">
      <c r="A113">
        <v>3</v>
      </c>
      <c r="B113" s="1">
        <v>45514</v>
      </c>
      <c r="C113" t="s">
        <v>152</v>
      </c>
      <c r="D113">
        <v>42</v>
      </c>
      <c r="E113">
        <v>310</v>
      </c>
      <c r="F113">
        <v>1918369</v>
      </c>
      <c r="G113" s="15" t="str" cm="1">
        <f t="array" ref="G113">_xlfn.SWITCH(A113,1,"GOLD",2,"SILVER",3,"BRONZE")</f>
        <v>BRONZE</v>
      </c>
    </row>
    <row r="114" spans="1:7" x14ac:dyDescent="0.3">
      <c r="A114">
        <v>3</v>
      </c>
      <c r="B114" s="1">
        <v>45511</v>
      </c>
      <c r="C114" t="s">
        <v>153</v>
      </c>
      <c r="D114">
        <v>42</v>
      </c>
      <c r="E114">
        <v>307</v>
      </c>
      <c r="F114">
        <v>1918372</v>
      </c>
      <c r="G114" s="15" t="str" cm="1">
        <f t="array" ref="G114">_xlfn.SWITCH(A114,1,"GOLD",2,"SILVER",3,"BRONZE")</f>
        <v>BRONZE</v>
      </c>
    </row>
    <row r="115" spans="1:7" x14ac:dyDescent="0.3">
      <c r="A115">
        <v>1</v>
      </c>
      <c r="B115" s="1">
        <v>45515</v>
      </c>
      <c r="C115" t="s">
        <v>154</v>
      </c>
      <c r="D115">
        <v>42</v>
      </c>
      <c r="E115">
        <v>306</v>
      </c>
      <c r="F115">
        <v>1918376</v>
      </c>
      <c r="G115" s="15" t="str" cm="1">
        <f t="array" ref="G115">_xlfn.SWITCH(A115,1,"GOLD",2,"SILVER",3,"BRONZE")</f>
        <v>GOLD</v>
      </c>
    </row>
    <row r="116" spans="1:7" x14ac:dyDescent="0.3">
      <c r="A116">
        <v>1</v>
      </c>
      <c r="B116" s="1">
        <v>45511</v>
      </c>
      <c r="C116" t="s">
        <v>155</v>
      </c>
      <c r="D116">
        <v>42</v>
      </c>
      <c r="E116">
        <v>302</v>
      </c>
      <c r="F116">
        <v>1918377</v>
      </c>
      <c r="G116" s="15" t="str" cm="1">
        <f t="array" ref="G116">_xlfn.SWITCH(A116,1,"GOLD",2,"SILVER",3,"BRONZE")</f>
        <v>GOLD</v>
      </c>
    </row>
    <row r="117" spans="1:7" x14ac:dyDescent="0.3">
      <c r="A117">
        <v>3</v>
      </c>
      <c r="B117" s="1">
        <v>45512</v>
      </c>
      <c r="C117" t="s">
        <v>156</v>
      </c>
      <c r="D117">
        <v>42</v>
      </c>
      <c r="E117">
        <v>303</v>
      </c>
      <c r="F117">
        <v>1918379</v>
      </c>
      <c r="G117" s="15" t="str" cm="1">
        <f t="array" ref="G117">_xlfn.SWITCH(A117,1,"GOLD",2,"SILVER",3,"BRONZE")</f>
        <v>BRONZE</v>
      </c>
    </row>
    <row r="118" spans="1:7" x14ac:dyDescent="0.3">
      <c r="A118">
        <v>1</v>
      </c>
      <c r="B118" s="1">
        <v>45508</v>
      </c>
      <c r="C118" t="s">
        <v>157</v>
      </c>
      <c r="D118">
        <v>42</v>
      </c>
      <c r="E118">
        <v>10</v>
      </c>
      <c r="F118">
        <v>1918856</v>
      </c>
      <c r="G118" s="15" t="str" cm="1">
        <f t="array" ref="G118">_xlfn.SWITCH(A118,1,"GOLD",2,"SILVER",3,"BRONZE")</f>
        <v>GOLD</v>
      </c>
    </row>
    <row r="119" spans="1:7" x14ac:dyDescent="0.3">
      <c r="A119">
        <v>3</v>
      </c>
      <c r="B119" s="1">
        <v>45509</v>
      </c>
      <c r="C119" t="s">
        <v>158</v>
      </c>
      <c r="D119">
        <v>42</v>
      </c>
      <c r="E119">
        <v>12</v>
      </c>
      <c r="F119">
        <v>1918865</v>
      </c>
      <c r="G119" s="15" t="str" cm="1">
        <f t="array" ref="G119">_xlfn.SWITCH(A119,1,"GOLD",2,"SILVER",3,"BRONZE")</f>
        <v>BRONZE</v>
      </c>
    </row>
    <row r="120" spans="1:7" x14ac:dyDescent="0.3">
      <c r="A120">
        <v>3</v>
      </c>
      <c r="B120" s="1">
        <v>45505</v>
      </c>
      <c r="C120" t="s">
        <v>159</v>
      </c>
      <c r="D120">
        <v>42</v>
      </c>
      <c r="E120">
        <v>65</v>
      </c>
      <c r="F120">
        <v>1919002</v>
      </c>
      <c r="G120" s="15" t="str" cm="1">
        <f t="array" ref="G120">_xlfn.SWITCH(A120,1,"GOLD",2,"SILVER",3,"BRONZE")</f>
        <v>BRONZE</v>
      </c>
    </row>
    <row r="121" spans="1:7" x14ac:dyDescent="0.3">
      <c r="A121">
        <v>3</v>
      </c>
      <c r="B121" s="1">
        <v>45504</v>
      </c>
      <c r="C121" t="s">
        <v>160</v>
      </c>
      <c r="D121">
        <v>108</v>
      </c>
      <c r="E121">
        <v>7</v>
      </c>
      <c r="F121">
        <v>1919480</v>
      </c>
      <c r="G121" s="15" t="str" cm="1">
        <f t="array" ref="G121">_xlfn.SWITCH(A121,1,"GOLD",2,"SILVER",3,"BRONZE")</f>
        <v>BRONZE</v>
      </c>
    </row>
    <row r="122" spans="1:7" x14ac:dyDescent="0.3">
      <c r="A122">
        <v>1</v>
      </c>
      <c r="B122" s="1">
        <v>45509</v>
      </c>
      <c r="C122" t="s">
        <v>160</v>
      </c>
      <c r="D122">
        <v>108</v>
      </c>
      <c r="E122">
        <v>13</v>
      </c>
      <c r="F122">
        <v>1919480</v>
      </c>
      <c r="G122" s="15" t="str" cm="1">
        <f t="array" ref="G122">_xlfn.SWITCH(A122,1,"GOLD",2,"SILVER",3,"BRONZE")</f>
        <v>GOLD</v>
      </c>
    </row>
    <row r="123" spans="1:7" x14ac:dyDescent="0.3">
      <c r="A123">
        <v>3</v>
      </c>
      <c r="B123" s="1">
        <v>45514</v>
      </c>
      <c r="C123" t="s">
        <v>161</v>
      </c>
      <c r="D123">
        <v>108</v>
      </c>
      <c r="E123">
        <v>63</v>
      </c>
      <c r="F123">
        <v>1919914</v>
      </c>
      <c r="G123" s="15" t="str" cm="1">
        <f t="array" ref="G123">_xlfn.SWITCH(A123,1,"GOLD",2,"SILVER",3,"BRONZE")</f>
        <v>BRONZE</v>
      </c>
    </row>
    <row r="124" spans="1:7" x14ac:dyDescent="0.3">
      <c r="A124">
        <v>3</v>
      </c>
      <c r="B124" s="1">
        <v>45513</v>
      </c>
      <c r="C124" t="s">
        <v>162</v>
      </c>
      <c r="D124">
        <v>82</v>
      </c>
      <c r="E124">
        <v>60</v>
      </c>
      <c r="F124">
        <v>1920183</v>
      </c>
      <c r="G124" s="15" t="str" cm="1">
        <f t="array" ref="G124">_xlfn.SWITCH(A124,1,"GOLD",2,"SILVER",3,"BRONZE")</f>
        <v>BRONZE</v>
      </c>
    </row>
    <row r="125" spans="1:7" x14ac:dyDescent="0.3">
      <c r="A125">
        <v>3</v>
      </c>
      <c r="B125" s="1">
        <v>45504</v>
      </c>
      <c r="C125" t="s">
        <v>163</v>
      </c>
      <c r="D125">
        <v>42</v>
      </c>
      <c r="E125">
        <v>112</v>
      </c>
      <c r="F125">
        <v>1920569</v>
      </c>
      <c r="G125" s="15" t="str" cm="1">
        <f t="array" ref="G125">_xlfn.SWITCH(A125,1,"GOLD",2,"SILVER",3,"BRONZE")</f>
        <v>BRONZE</v>
      </c>
    </row>
    <row r="126" spans="1:7" x14ac:dyDescent="0.3">
      <c r="A126">
        <v>3</v>
      </c>
      <c r="B126" s="1">
        <v>45509</v>
      </c>
      <c r="C126" t="s">
        <v>164</v>
      </c>
      <c r="D126">
        <v>77</v>
      </c>
      <c r="E126">
        <v>48</v>
      </c>
      <c r="F126">
        <v>1924429</v>
      </c>
      <c r="G126" s="15" t="str" cm="1">
        <f t="array" ref="G126">_xlfn.SWITCH(A126,1,"GOLD",2,"SILVER",3,"BRONZE")</f>
        <v>BRONZE</v>
      </c>
    </row>
    <row r="127" spans="1:7" x14ac:dyDescent="0.3">
      <c r="A127">
        <v>3</v>
      </c>
      <c r="B127" s="1">
        <v>45505</v>
      </c>
      <c r="C127" t="s">
        <v>165</v>
      </c>
      <c r="D127">
        <v>104</v>
      </c>
      <c r="E127">
        <v>173</v>
      </c>
      <c r="F127">
        <v>1925349</v>
      </c>
      <c r="G127" s="15" t="str" cm="1">
        <f t="array" ref="G127">_xlfn.SWITCH(A127,1,"GOLD",2,"SILVER",3,"BRONZE")</f>
        <v>BRONZE</v>
      </c>
    </row>
    <row r="128" spans="1:7" x14ac:dyDescent="0.3">
      <c r="A128">
        <v>1</v>
      </c>
      <c r="B128" s="1">
        <v>45501</v>
      </c>
      <c r="C128" t="s">
        <v>166</v>
      </c>
      <c r="D128">
        <v>104</v>
      </c>
      <c r="E128">
        <v>265</v>
      </c>
      <c r="F128">
        <v>1925633</v>
      </c>
      <c r="G128" s="15" t="str" cm="1">
        <f t="array" ref="G128">_xlfn.SWITCH(A128,1,"GOLD",2,"SILVER",3,"BRONZE")</f>
        <v>GOLD</v>
      </c>
    </row>
    <row r="129" spans="1:7" x14ac:dyDescent="0.3">
      <c r="A129">
        <v>2</v>
      </c>
      <c r="B129" s="1">
        <v>45502</v>
      </c>
      <c r="C129" t="s">
        <v>167</v>
      </c>
      <c r="D129">
        <v>104</v>
      </c>
      <c r="E129">
        <v>263</v>
      </c>
      <c r="F129">
        <v>1925635</v>
      </c>
      <c r="G129" s="15" t="str" cm="1">
        <f t="array" ref="G129">_xlfn.SWITCH(A129,1,"GOLD",2,"SILVER",3,"BRONZE")</f>
        <v>SILVER</v>
      </c>
    </row>
    <row r="130" spans="1:7" x14ac:dyDescent="0.3">
      <c r="A130">
        <v>1</v>
      </c>
      <c r="B130" s="1">
        <v>45510</v>
      </c>
      <c r="C130" t="s">
        <v>168</v>
      </c>
      <c r="D130">
        <v>31</v>
      </c>
      <c r="E130">
        <v>53</v>
      </c>
      <c r="F130">
        <v>1926102</v>
      </c>
      <c r="G130" s="15" t="str" cm="1">
        <f t="array" ref="G130">_xlfn.SWITCH(A130,1,"GOLD",2,"SILVER",3,"BRONZE")</f>
        <v>GOLD</v>
      </c>
    </row>
    <row r="131" spans="1:7" x14ac:dyDescent="0.3">
      <c r="A131">
        <v>2</v>
      </c>
      <c r="B131" s="1">
        <v>45514</v>
      </c>
      <c r="C131" t="s">
        <v>169</v>
      </c>
      <c r="D131">
        <v>153</v>
      </c>
      <c r="E131">
        <v>33</v>
      </c>
      <c r="F131">
        <v>1926713</v>
      </c>
      <c r="G131" s="15" t="str" cm="1">
        <f t="array" ref="G131">_xlfn.SWITCH(A131,1,"GOLD",2,"SILVER",3,"BRONZE")</f>
        <v>SILVER</v>
      </c>
    </row>
    <row r="132" spans="1:7" x14ac:dyDescent="0.3">
      <c r="A132">
        <v>2</v>
      </c>
      <c r="B132" s="1">
        <v>45514</v>
      </c>
      <c r="C132" t="s">
        <v>170</v>
      </c>
      <c r="D132">
        <v>42</v>
      </c>
      <c r="E132">
        <v>93</v>
      </c>
      <c r="F132">
        <v>1926826</v>
      </c>
      <c r="G132" s="15" t="str" cm="1">
        <f t="array" ref="G132">_xlfn.SWITCH(A132,1,"GOLD",2,"SILVER",3,"BRONZE")</f>
        <v>SILVER</v>
      </c>
    </row>
    <row r="133" spans="1:7" x14ac:dyDescent="0.3">
      <c r="A133">
        <v>2</v>
      </c>
      <c r="B133" s="1">
        <v>45512</v>
      </c>
      <c r="C133" t="s">
        <v>171</v>
      </c>
      <c r="D133">
        <v>42</v>
      </c>
      <c r="E133">
        <v>89</v>
      </c>
      <c r="F133">
        <v>1926832</v>
      </c>
      <c r="G133" s="15" t="str" cm="1">
        <f t="array" ref="G133">_xlfn.SWITCH(A133,1,"GOLD",2,"SILVER",3,"BRONZE")</f>
        <v>SILVER</v>
      </c>
    </row>
    <row r="134" spans="1:7" x14ac:dyDescent="0.3">
      <c r="A134">
        <v>2</v>
      </c>
      <c r="B134" s="1">
        <v>45513</v>
      </c>
      <c r="C134" t="s">
        <v>172</v>
      </c>
      <c r="D134">
        <v>42</v>
      </c>
      <c r="E134">
        <v>88</v>
      </c>
      <c r="F134">
        <v>1926833</v>
      </c>
      <c r="G134" s="15" t="str" cm="1">
        <f t="array" ref="G134">_xlfn.SWITCH(A134,1,"GOLD",2,"SILVER",3,"BRONZE")</f>
        <v>SILVER</v>
      </c>
    </row>
    <row r="135" spans="1:7" x14ac:dyDescent="0.3">
      <c r="A135">
        <v>1</v>
      </c>
      <c r="B135" s="1">
        <v>45500</v>
      </c>
      <c r="C135" t="s">
        <v>173</v>
      </c>
      <c r="D135">
        <v>113</v>
      </c>
      <c r="E135">
        <v>153</v>
      </c>
      <c r="F135">
        <v>1927149</v>
      </c>
      <c r="G135" s="15" t="str" cm="1">
        <f t="array" ref="G135">_xlfn.SWITCH(A135,1,"GOLD",2,"SILVER",3,"BRONZE")</f>
        <v>GOLD</v>
      </c>
    </row>
    <row r="136" spans="1:7" x14ac:dyDescent="0.3">
      <c r="A136">
        <v>2</v>
      </c>
      <c r="B136" s="1">
        <v>45507</v>
      </c>
      <c r="C136" t="s">
        <v>174</v>
      </c>
      <c r="D136">
        <v>102</v>
      </c>
      <c r="E136">
        <v>205</v>
      </c>
      <c r="F136">
        <v>1927680</v>
      </c>
      <c r="G136" s="15" t="str" cm="1">
        <f t="array" ref="G136">_xlfn.SWITCH(A136,1,"GOLD",2,"SILVER",3,"BRONZE")</f>
        <v>SILVER</v>
      </c>
    </row>
    <row r="137" spans="1:7" x14ac:dyDescent="0.3">
      <c r="A137">
        <v>2</v>
      </c>
      <c r="B137" s="1">
        <v>45872</v>
      </c>
      <c r="C137" t="s">
        <v>175</v>
      </c>
      <c r="D137">
        <v>42</v>
      </c>
      <c r="E137">
        <v>289</v>
      </c>
      <c r="F137">
        <v>1927709</v>
      </c>
      <c r="G137" s="15" t="str" cm="1">
        <f t="array" ref="G137">_xlfn.SWITCH(A137,1,"GOLD",2,"SILVER",3,"BRONZE")</f>
        <v>SILVER</v>
      </c>
    </row>
    <row r="138" spans="1:7" x14ac:dyDescent="0.3">
      <c r="A138">
        <v>3</v>
      </c>
      <c r="B138" s="1">
        <v>45505</v>
      </c>
      <c r="C138" t="s">
        <v>176</v>
      </c>
      <c r="D138">
        <v>61</v>
      </c>
      <c r="E138">
        <v>42</v>
      </c>
      <c r="F138">
        <v>1929767</v>
      </c>
      <c r="G138" s="15" t="str" cm="1">
        <f t="array" ref="G138">_xlfn.SWITCH(A138,1,"GOLD",2,"SILVER",3,"BRONZE")</f>
        <v>BRONZE</v>
      </c>
    </row>
    <row r="139" spans="1:7" x14ac:dyDescent="0.3">
      <c r="A139">
        <v>1</v>
      </c>
      <c r="B139" s="1">
        <v>45514</v>
      </c>
      <c r="C139" t="s">
        <v>177</v>
      </c>
      <c r="D139">
        <v>62</v>
      </c>
      <c r="E139">
        <v>186</v>
      </c>
      <c r="F139">
        <v>1932649</v>
      </c>
      <c r="G139" s="15" t="str" cm="1">
        <f t="array" ref="G139">_xlfn.SWITCH(A139,1,"GOLD",2,"SILVER",3,"BRONZE")</f>
        <v>GOLD</v>
      </c>
    </row>
    <row r="140" spans="1:7" x14ac:dyDescent="0.3">
      <c r="A140">
        <v>1</v>
      </c>
      <c r="B140" s="1">
        <v>45500</v>
      </c>
      <c r="C140" t="s">
        <v>178</v>
      </c>
      <c r="D140">
        <v>109</v>
      </c>
      <c r="E140">
        <v>175</v>
      </c>
      <c r="F140">
        <v>1935408</v>
      </c>
      <c r="G140" s="15" t="str" cm="1">
        <f t="array" ref="G140">_xlfn.SWITCH(A140,1,"GOLD",2,"SILVER",3,"BRONZE")</f>
        <v>GOLD</v>
      </c>
    </row>
    <row r="141" spans="1:7" x14ac:dyDescent="0.3">
      <c r="A141">
        <v>1</v>
      </c>
      <c r="B141" s="1">
        <v>45515</v>
      </c>
      <c r="C141" t="s">
        <v>179</v>
      </c>
      <c r="D141">
        <v>93</v>
      </c>
      <c r="E141">
        <v>185</v>
      </c>
      <c r="F141">
        <v>1936619</v>
      </c>
      <c r="G141" s="15" t="str" cm="1">
        <f t="array" ref="G141">_xlfn.SWITCH(A141,1,"GOLD",2,"SILVER",3,"BRONZE")</f>
        <v>GOLD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C5EE-937F-4C0F-B614-4065235031AE}">
  <dimension ref="A1:G18"/>
  <sheetViews>
    <sheetView tabSelected="1" workbookViewId="0">
      <selection activeCell="F16" sqref="F16"/>
    </sheetView>
  </sheetViews>
  <sheetFormatPr defaultColWidth="11.5546875" defaultRowHeight="14.4" x14ac:dyDescent="0.3"/>
  <sheetData>
    <row r="1" spans="1:7" ht="46.8" thickBot="1" x14ac:dyDescent="0.9">
      <c r="A1" s="17">
        <v>2024</v>
      </c>
      <c r="B1" s="17"/>
      <c r="C1" s="17"/>
      <c r="D1" s="17"/>
      <c r="E1" s="17"/>
      <c r="F1" s="17"/>
      <c r="G1" s="17"/>
    </row>
    <row r="2" spans="1:7" ht="46.8" thickBot="1" x14ac:dyDescent="0.9">
      <c r="A2" s="18" t="s">
        <v>196</v>
      </c>
      <c r="B2" s="19"/>
      <c r="C2" s="20"/>
      <c r="D2" s="18" t="s">
        <v>197</v>
      </c>
      <c r="E2" s="21"/>
      <c r="F2" s="21"/>
      <c r="G2" s="21"/>
    </row>
    <row r="3" spans="1:7" x14ac:dyDescent="0.3">
      <c r="A3" s="11" t="s">
        <v>37</v>
      </c>
      <c r="B3" s="11" t="s">
        <v>38</v>
      </c>
      <c r="C3" s="12" t="s">
        <v>39</v>
      </c>
      <c r="D3" s="11" t="s">
        <v>40</v>
      </c>
      <c r="E3" s="11" t="s">
        <v>198</v>
      </c>
      <c r="F3" s="13" t="s">
        <v>199</v>
      </c>
      <c r="G3" s="14"/>
    </row>
    <row r="4" spans="1:7" x14ac:dyDescent="0.3">
      <c r="A4">
        <v>510</v>
      </c>
      <c r="B4">
        <v>380</v>
      </c>
      <c r="C4">
        <v>480</v>
      </c>
    </row>
    <row r="5" spans="1:7" x14ac:dyDescent="0.3">
      <c r="A5">
        <v>920</v>
      </c>
      <c r="B5">
        <v>320</v>
      </c>
      <c r="C5">
        <v>280</v>
      </c>
    </row>
    <row r="6" spans="1:7" x14ac:dyDescent="0.3">
      <c r="A6">
        <v>740</v>
      </c>
      <c r="B6">
        <v>670</v>
      </c>
      <c r="C6">
        <v>790</v>
      </c>
    </row>
    <row r="7" spans="1:7" x14ac:dyDescent="0.3">
      <c r="A7">
        <v>410</v>
      </c>
      <c r="B7">
        <v>190</v>
      </c>
      <c r="C7">
        <v>130</v>
      </c>
    </row>
    <row r="8" spans="1:7" x14ac:dyDescent="0.3">
      <c r="A8">
        <v>400</v>
      </c>
      <c r="B8">
        <v>950</v>
      </c>
      <c r="C8">
        <v>740</v>
      </c>
    </row>
    <row r="9" spans="1:7" x14ac:dyDescent="0.3">
      <c r="A9">
        <v>500</v>
      </c>
      <c r="B9">
        <v>850</v>
      </c>
      <c r="C9">
        <v>890</v>
      </c>
    </row>
    <row r="10" spans="1:7" x14ac:dyDescent="0.3">
      <c r="A10">
        <v>270</v>
      </c>
      <c r="B10">
        <v>680</v>
      </c>
      <c r="C10">
        <v>220</v>
      </c>
    </row>
    <row r="11" spans="1:7" x14ac:dyDescent="0.3">
      <c r="A11">
        <v>420</v>
      </c>
      <c r="B11">
        <v>700</v>
      </c>
      <c r="C11">
        <v>190</v>
      </c>
    </row>
    <row r="12" spans="1:7" x14ac:dyDescent="0.3">
      <c r="A12">
        <v>630</v>
      </c>
      <c r="B12">
        <v>710</v>
      </c>
      <c r="C12">
        <v>490</v>
      </c>
    </row>
    <row r="13" spans="1:7" x14ac:dyDescent="0.3">
      <c r="A13">
        <v>240</v>
      </c>
      <c r="B13">
        <v>790</v>
      </c>
      <c r="C13">
        <v>170</v>
      </c>
    </row>
    <row r="14" spans="1:7" x14ac:dyDescent="0.3">
      <c r="A14">
        <v>920</v>
      </c>
      <c r="B14">
        <v>220</v>
      </c>
      <c r="C14">
        <v>330</v>
      </c>
    </row>
    <row r="15" spans="1:7" x14ac:dyDescent="0.3">
      <c r="A15">
        <v>210</v>
      </c>
      <c r="B15">
        <v>820</v>
      </c>
      <c r="C15">
        <v>540</v>
      </c>
    </row>
    <row r="16" spans="1:7" x14ac:dyDescent="0.3">
      <c r="A16">
        <v>720</v>
      </c>
      <c r="B16">
        <v>740</v>
      </c>
      <c r="C16">
        <v>480</v>
      </c>
    </row>
    <row r="17" spans="1:3" x14ac:dyDescent="0.3">
      <c r="A17">
        <v>390</v>
      </c>
      <c r="B17">
        <v>1000</v>
      </c>
      <c r="C17">
        <v>740</v>
      </c>
    </row>
    <row r="18" spans="1:3" x14ac:dyDescent="0.3">
      <c r="A18">
        <v>890</v>
      </c>
      <c r="B18">
        <v>130</v>
      </c>
      <c r="C18">
        <v>860</v>
      </c>
    </row>
  </sheetData>
  <mergeCells count="3">
    <mergeCell ref="A1:G1"/>
    <mergeCell ref="A2:C2"/>
    <mergeCell ref="D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1C731C-C76C-412C-9ABA-3554524E2A01}"/>
</file>

<file path=customXml/itemProps2.xml><?xml version="1.0" encoding="utf-8"?>
<ds:datastoreItem xmlns:ds="http://schemas.openxmlformats.org/officeDocument/2006/customXml" ds:itemID="{18028E38-DAF1-4FA0-881D-8E5A3ACBBC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6DECB-98A4-4941-A63E-E3D76F6BF2BA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SAMPLE DATA</vt:lpstr>
      <vt:lpstr>Feuil1</vt:lpstr>
      <vt:lpstr>SORT &amp; FILTER</vt:lpstr>
      <vt:lpstr>SEARCH</vt:lpstr>
      <vt:lpstr>FORMULAS INTRO</vt:lpstr>
      <vt:lpstr>'SAMPLE DATA'!Criteria</vt:lpstr>
      <vt:lpstr>'SAMPLE DATA'!Extract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Dick Kusleika</dc:creator>
  <cp:keywords/>
  <dc:description/>
  <cp:lastModifiedBy>Ludovic Moreau, manager</cp:lastModifiedBy>
  <cp:revision/>
  <dcterms:created xsi:type="dcterms:W3CDTF">2018-05-30T22:57:31Z</dcterms:created>
  <dcterms:modified xsi:type="dcterms:W3CDTF">2026-06-21T21:46:41Z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58500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  <property fmtid="{D5CDD505-2E9C-101B-9397-08002B2CF9AE}" pid="9" name="ModuleName">
    <vt:lpwstr>Refresh Base</vt:lpwstr>
  </property>
</Properties>
</file>