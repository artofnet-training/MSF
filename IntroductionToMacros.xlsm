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rea\Downloads\"/>
    </mc:Choice>
  </mc:AlternateContent>
  <xr:revisionPtr revIDLastSave="0" documentId="8_{55DAF715-D6D6-489D-94D6-5CF64F3F6FB0}" xr6:coauthVersionLast="47" xr6:coauthVersionMax="47" xr10:uidLastSave="{00000000-0000-0000-0000-000000000000}"/>
  <bookViews>
    <workbookView xWindow="28680" yWindow="-75" windowWidth="29040" windowHeight="17520" activeTab="1" xr2:uid="{22FB5B1C-7305-49AB-B8E1-D0325489CF73}"/>
  </bookViews>
  <sheets>
    <sheet name="Macro1-2" sheetId="6" r:id="rId1"/>
    <sheet name="Macro3-5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10" i="9" l="1"/>
  <c r="I3" i="9"/>
  <c r="I4" i="9"/>
  <c r="I5" i="9"/>
  <c r="I6" i="9"/>
  <c r="I2" i="9"/>
  <c r="H10" i="9"/>
  <c r="H3" i="9"/>
  <c r="H4" i="9"/>
  <c r="H5" i="9"/>
  <c r="H6" i="9"/>
  <c r="H2" i="9"/>
</calcChain>
</file>

<file path=xl/sharedStrings.xml><?xml version="1.0" encoding="utf-8"?>
<sst xmlns="http://schemas.openxmlformats.org/spreadsheetml/2006/main" count="112" uniqueCount="31">
  <si>
    <t>City</t>
  </si>
  <si>
    <t>Product</t>
  </si>
  <si>
    <t>Quantity</t>
  </si>
  <si>
    <t>Unit Price</t>
  </si>
  <si>
    <t>Customer Name</t>
  </si>
  <si>
    <t>Order Date</t>
  </si>
  <si>
    <t>Product Code</t>
  </si>
  <si>
    <t>Stylo bleu</t>
  </si>
  <si>
    <t>Martin</t>
  </si>
  <si>
    <t>Lausanne</t>
  </si>
  <si>
    <t>STY-BLEU-01</t>
  </si>
  <si>
    <t>Cahier A4</t>
  </si>
  <si>
    <t>Dupont</t>
  </si>
  <si>
    <t>Genève</t>
  </si>
  <si>
    <t>CAH-A4-05</t>
  </si>
  <si>
    <t>Agenda 2024</t>
  </si>
  <si>
    <t>Pascal</t>
  </si>
  <si>
    <t>Fribourg</t>
  </si>
  <si>
    <t>AGD-2024-07</t>
  </si>
  <si>
    <t>Souris USB</t>
  </si>
  <si>
    <t>Laurent</t>
  </si>
  <si>
    <t>Sion</t>
  </si>
  <si>
    <t>SRS-USB-03</t>
  </si>
  <si>
    <t>Clavier AZERTY</t>
  </si>
  <si>
    <t>Fontaine</t>
  </si>
  <si>
    <t>Neuchâtel</t>
  </si>
  <si>
    <t>CLV-AZT-04</t>
  </si>
  <si>
    <t>Total</t>
  </si>
  <si>
    <t>VAT %</t>
  </si>
  <si>
    <t>TOTAL</t>
  </si>
  <si>
    <t>TOTAL WITH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</si>
</sst>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_-* #,##0\ [$CHF-100C]_-;\-* #,##0\ [$CHF-100C]_-;_-* &quot;-&quot;??\ [$CHF-100C]_-;_-@_-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36454F"/>
      <name val="Segoe UI"/>
      <family val="2"/>
    </font>
    <font>
      <sz val="12"/>
      <color rgb="FF36454F"/>
      <name val="Segoe UI"/>
      <family val="2"/>
    </font>
    <font>
      <b/>
      <sz val="2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rgb="FF000000"/>
      </patternFill>
    </fill>
    <fill>
      <patternFill patternType="solid">
        <fgColor theme="3" tint="0.499984740745262"/>
        <bgColor rgb="FF000000"/>
      </patternFill>
    </fill>
  </fills>
  <borders count="4">
    <border>
      <left/>
      <right/>
      <top/>
      <bottom/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/>
      <bottom/>
      <diagonal/>
    </border>
    <border>
      <left style="medium">
        <color rgb="FFE6E6E6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4" fontId="4" fillId="0" borderId="1" xfId="0" applyNumberFormat="1" applyFont="1" applyBorder="1" applyAlignment="1">
      <alignment vertical="center"/>
    </xf>
    <xf numFmtId="10" fontId="0" fillId="0" borderId="0" xfId="0" applyNumberFormat="1"/>
    <xf numFmtId="170" fontId="1" fillId="0" borderId="0" xfId="0" applyNumberFormat="1" applyFont="1"/>
    <xf numFmtId="0" fontId="5" fillId="0" borderId="0" xfId="0" applyFont="1"/>
    <xf numFmtId="170" fontId="5" fillId="0" borderId="0" xfId="0" applyNumberFormat="1" applyFont="1"/>
    <xf numFmtId="0" fontId="2" fillId="3" borderId="0" xfId="0" applyFont="1" applyFill="1"/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18</xdr:row>
          <xdr:rowOff>47625</xdr:rowOff>
        </xdr:from>
        <xdr:to>
          <xdr:col>14</xdr:col>
          <xdr:colOff>38100</xdr:colOff>
          <xdr:row>22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Launch CreateTotalsRelative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200025</xdr:rowOff>
        </xdr:from>
        <xdr:to>
          <xdr:col>14</xdr:col>
          <xdr:colOff>180975</xdr:colOff>
          <xdr:row>5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Launch CreateTotalsAbsolute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447675</xdr:colOff>
      <xdr:row>0</xdr:row>
      <xdr:rowOff>200025</xdr:rowOff>
    </xdr:from>
    <xdr:to>
      <xdr:col>16</xdr:col>
      <xdr:colOff>142875</xdr:colOff>
      <xdr:row>4</xdr:row>
      <xdr:rowOff>200025</xdr:rowOff>
    </xdr:to>
    <xdr:pic macro="[0]!CalculateTotalsAbosulte">
      <xdr:nvPicPr>
        <xdr:cNvPr id="3" name="Graphic 2" descr="Abacus with solid fill">
          <a:extLst>
            <a:ext uri="{FF2B5EF4-FFF2-40B4-BE49-F238E27FC236}">
              <a16:creationId xmlns:a16="http://schemas.microsoft.com/office/drawing/2014/main" id="{2CD8125A-6BF7-9FDF-8870-1E8AA4D89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325225" y="2000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533400</xdr:colOff>
      <xdr:row>18</xdr:row>
      <xdr:rowOff>133350</xdr:rowOff>
    </xdr:from>
    <xdr:to>
      <xdr:col>16</xdr:col>
      <xdr:colOff>228600</xdr:colOff>
      <xdr:row>23</xdr:row>
      <xdr:rowOff>57150</xdr:rowOff>
    </xdr:to>
    <xdr:pic macro="[0]!CreateTotalsRelative">
      <xdr:nvPicPr>
        <xdr:cNvPr id="5" name="Graphic 4" descr="Abacus with solid fill">
          <a:extLst>
            <a:ext uri="{FF2B5EF4-FFF2-40B4-BE49-F238E27FC236}">
              <a16:creationId xmlns:a16="http://schemas.microsoft.com/office/drawing/2014/main" id="{E3172F51-8B35-5A99-90B1-315356A3B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10950" y="39909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257175</xdr:colOff>
      <xdr:row>2</xdr:row>
      <xdr:rowOff>57150</xdr:rowOff>
    </xdr:from>
    <xdr:to>
      <xdr:col>17</xdr:col>
      <xdr:colOff>219075</xdr:colOff>
      <xdr:row>19</xdr:row>
      <xdr:rowOff>66675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26242-BD53-BAB1-9638-087D304FF6A6}"/>
            </a:ext>
          </a:extLst>
        </xdr:cNvPr>
        <xdr:cNvSpPr/>
      </xdr:nvSpPr>
      <xdr:spPr>
        <a:xfrm>
          <a:off x="10353675" y="447675"/>
          <a:ext cx="3009900" cy="3543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3</xdr:row>
          <xdr:rowOff>47625</xdr:rowOff>
        </xdr:from>
        <xdr:to>
          <xdr:col>17</xdr:col>
          <xdr:colOff>38100</xdr:colOff>
          <xdr:row>5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7</xdr:row>
          <xdr:rowOff>15875</xdr:rowOff>
        </xdr:from>
        <xdr:to>
          <xdr:col>17</xdr:col>
          <xdr:colOff>38100</xdr:colOff>
          <xdr:row>9</xdr:row>
          <xdr:rowOff>234950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Totals with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10</xdr:row>
          <xdr:rowOff>146050</xdr:rowOff>
        </xdr:from>
        <xdr:to>
          <xdr:col>17</xdr:col>
          <xdr:colOff>38100</xdr:colOff>
          <xdr:row>13</xdr:row>
          <xdr:rowOff>174625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15</xdr:row>
          <xdr:rowOff>38100</xdr:rowOff>
        </xdr:from>
        <xdr:to>
          <xdr:col>17</xdr:col>
          <xdr:colOff>38100</xdr:colOff>
          <xdr:row>18</xdr:row>
          <xdr:rowOff>66675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 Headers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C7657-3D34-44CF-8DD2-C38658DE703A}">
  <sheetPr codeName="Sheet4"/>
  <dimension ref="A1:G32"/>
  <sheetViews>
    <sheetView workbookViewId="0">
      <selection sqref="A1:G6"/>
    </sheetView>
  </sheetViews>
  <sheetFormatPr defaultRowHeight="15" x14ac:dyDescent="0.25"/>
  <cols>
    <col min="1" max="1" width="16.5703125" bestFit="1" customWidth="1"/>
    <col min="2" max="2" width="10.85546875" bestFit="1" customWidth="1"/>
    <col min="3" max="3" width="12" bestFit="1" customWidth="1"/>
    <col min="4" max="4" width="19.140625" bestFit="1" customWidth="1"/>
    <col min="5" max="5" width="13.140625" bestFit="1" customWidth="1"/>
    <col min="6" max="6" width="11.28515625" bestFit="1" customWidth="1"/>
    <col min="7" max="7" width="16.140625" bestFit="1" customWidth="1"/>
  </cols>
  <sheetData>
    <row r="1" spans="1:7" ht="18" thickBot="1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0</v>
      </c>
      <c r="G1" s="1" t="s">
        <v>6</v>
      </c>
    </row>
    <row r="2" spans="1:7" ht="18" thickBot="1" x14ac:dyDescent="0.3">
      <c r="A2" s="2" t="s">
        <v>7</v>
      </c>
      <c r="B2" s="2">
        <v>24</v>
      </c>
      <c r="C2" s="2">
        <v>2.5</v>
      </c>
      <c r="D2" s="2" t="s">
        <v>8</v>
      </c>
      <c r="E2" s="3">
        <v>45303</v>
      </c>
      <c r="F2" s="2" t="s">
        <v>9</v>
      </c>
      <c r="G2" s="2" t="s">
        <v>10</v>
      </c>
    </row>
    <row r="3" spans="1:7" ht="18" thickBot="1" x14ac:dyDescent="0.3">
      <c r="A3" s="2" t="s">
        <v>11</v>
      </c>
      <c r="B3" s="2">
        <v>10</v>
      </c>
      <c r="C3" s="2">
        <v>4.8</v>
      </c>
      <c r="D3" s="2" t="s">
        <v>12</v>
      </c>
      <c r="E3" s="3">
        <v>45306</v>
      </c>
      <c r="F3" s="2" t="s">
        <v>13</v>
      </c>
      <c r="G3" s="2" t="s">
        <v>14</v>
      </c>
    </row>
    <row r="4" spans="1:7" ht="18" thickBot="1" x14ac:dyDescent="0.3">
      <c r="A4" s="2" t="s">
        <v>15</v>
      </c>
      <c r="B4" s="2">
        <v>7</v>
      </c>
      <c r="C4" s="2">
        <v>19.899999999999999</v>
      </c>
      <c r="D4" s="2" t="s">
        <v>16</v>
      </c>
      <c r="E4" s="3">
        <v>45325</v>
      </c>
      <c r="F4" s="2" t="s">
        <v>17</v>
      </c>
      <c r="G4" s="2" t="s">
        <v>18</v>
      </c>
    </row>
    <row r="5" spans="1:7" ht="18" thickBot="1" x14ac:dyDescent="0.3">
      <c r="A5" s="2" t="s">
        <v>19</v>
      </c>
      <c r="B5" s="2">
        <v>3</v>
      </c>
      <c r="C5" s="2">
        <v>35</v>
      </c>
      <c r="D5" s="2" t="s">
        <v>20</v>
      </c>
      <c r="E5" s="3">
        <v>45342</v>
      </c>
      <c r="F5" s="2" t="s">
        <v>21</v>
      </c>
      <c r="G5" s="2" t="s">
        <v>22</v>
      </c>
    </row>
    <row r="6" spans="1:7" ht="18" thickBot="1" x14ac:dyDescent="0.3">
      <c r="A6" s="2" t="s">
        <v>23</v>
      </c>
      <c r="B6" s="2">
        <v>4</v>
      </c>
      <c r="C6" s="2">
        <v>49</v>
      </c>
      <c r="D6" s="2" t="s">
        <v>24</v>
      </c>
      <c r="E6" s="3">
        <v>45350</v>
      </c>
      <c r="F6" s="2" t="s">
        <v>25</v>
      </c>
      <c r="G6" s="2" t="s">
        <v>26</v>
      </c>
    </row>
    <row r="13" spans="1:7" ht="15.75" thickBot="1" x14ac:dyDescent="0.3"/>
    <row r="14" spans="1:7" ht="18" thickBot="1" x14ac:dyDescent="0.3">
      <c r="A14" s="1" t="s">
        <v>1</v>
      </c>
      <c r="B14" s="1" t="s">
        <v>2</v>
      </c>
      <c r="C14" s="1" t="s">
        <v>3</v>
      </c>
      <c r="D14" s="1" t="s">
        <v>4</v>
      </c>
      <c r="E14" s="1" t="s">
        <v>5</v>
      </c>
      <c r="F14" s="1" t="s">
        <v>0</v>
      </c>
      <c r="G14" s="1" t="s">
        <v>6</v>
      </c>
    </row>
    <row r="15" spans="1:7" ht="18" thickBot="1" x14ac:dyDescent="0.3">
      <c r="A15" s="2" t="s">
        <v>7</v>
      </c>
      <c r="B15" s="2">
        <v>50</v>
      </c>
      <c r="C15" s="2">
        <v>20</v>
      </c>
      <c r="D15" s="2" t="s">
        <v>8</v>
      </c>
      <c r="E15" s="3">
        <v>45303</v>
      </c>
      <c r="F15" s="2" t="s">
        <v>9</v>
      </c>
      <c r="G15" s="2" t="s">
        <v>10</v>
      </c>
    </row>
    <row r="16" spans="1:7" ht="18" thickBot="1" x14ac:dyDescent="0.3">
      <c r="A16" s="2" t="s">
        <v>11</v>
      </c>
      <c r="B16" s="2">
        <v>40</v>
      </c>
      <c r="C16" s="2">
        <v>25</v>
      </c>
      <c r="D16" s="2" t="s">
        <v>12</v>
      </c>
      <c r="E16" s="3">
        <v>45306</v>
      </c>
      <c r="F16" s="2" t="s">
        <v>13</v>
      </c>
      <c r="G16" s="2" t="s">
        <v>14</v>
      </c>
    </row>
    <row r="17" spans="1:7" ht="18" thickBot="1" x14ac:dyDescent="0.3">
      <c r="A17" s="2" t="s">
        <v>15</v>
      </c>
      <c r="B17" s="2">
        <v>30</v>
      </c>
      <c r="C17" s="2">
        <v>30</v>
      </c>
      <c r="D17" s="2" t="s">
        <v>16</v>
      </c>
      <c r="E17" s="3">
        <v>45325</v>
      </c>
      <c r="F17" s="2" t="s">
        <v>17</v>
      </c>
      <c r="G17" s="2" t="s">
        <v>18</v>
      </c>
    </row>
    <row r="18" spans="1:7" ht="18" thickBot="1" x14ac:dyDescent="0.3">
      <c r="A18" s="2" t="s">
        <v>19</v>
      </c>
      <c r="B18" s="2">
        <v>20</v>
      </c>
      <c r="C18" s="2">
        <v>35</v>
      </c>
      <c r="D18" s="2" t="s">
        <v>20</v>
      </c>
      <c r="E18" s="3">
        <v>45342</v>
      </c>
      <c r="F18" s="2" t="s">
        <v>21</v>
      </c>
      <c r="G18" s="2" t="s">
        <v>22</v>
      </c>
    </row>
    <row r="19" spans="1:7" ht="18" thickBot="1" x14ac:dyDescent="0.3">
      <c r="A19" s="2" t="s">
        <v>23</v>
      </c>
      <c r="B19" s="2">
        <v>10</v>
      </c>
      <c r="C19" s="2">
        <v>40</v>
      </c>
      <c r="D19" s="2" t="s">
        <v>24</v>
      </c>
      <c r="E19" s="3">
        <v>45350</v>
      </c>
      <c r="F19" s="2" t="s">
        <v>25</v>
      </c>
      <c r="G19" s="2" t="s">
        <v>26</v>
      </c>
    </row>
    <row r="26" spans="1:7" ht="15.75" thickBot="1" x14ac:dyDescent="0.3"/>
    <row r="27" spans="1:7" ht="18" thickBot="1" x14ac:dyDescent="0.3">
      <c r="A27" s="1" t="s">
        <v>1</v>
      </c>
      <c r="B27" s="1" t="s">
        <v>2</v>
      </c>
      <c r="C27" s="1" t="s">
        <v>3</v>
      </c>
      <c r="D27" s="1" t="s">
        <v>4</v>
      </c>
      <c r="E27" s="1" t="s">
        <v>5</v>
      </c>
      <c r="F27" s="1" t="s">
        <v>0</v>
      </c>
      <c r="G27" s="1" t="s">
        <v>6</v>
      </c>
    </row>
    <row r="28" spans="1:7" ht="18" thickBot="1" x14ac:dyDescent="0.3">
      <c r="A28" s="2" t="s">
        <v>7</v>
      </c>
      <c r="B28" s="2">
        <v>10</v>
      </c>
      <c r="C28" s="2">
        <v>15</v>
      </c>
      <c r="D28" s="2" t="s">
        <v>8</v>
      </c>
      <c r="E28" s="3">
        <v>45303</v>
      </c>
      <c r="F28" s="2" t="s">
        <v>9</v>
      </c>
      <c r="G28" s="2" t="s">
        <v>10</v>
      </c>
    </row>
    <row r="29" spans="1:7" ht="18" thickBot="1" x14ac:dyDescent="0.3">
      <c r="A29" s="2" t="s">
        <v>11</v>
      </c>
      <c r="B29" s="2">
        <v>10</v>
      </c>
      <c r="C29" s="2">
        <v>5</v>
      </c>
      <c r="D29" s="2" t="s">
        <v>12</v>
      </c>
      <c r="E29" s="3">
        <v>45306</v>
      </c>
      <c r="F29" s="2" t="s">
        <v>13</v>
      </c>
      <c r="G29" s="2" t="s">
        <v>14</v>
      </c>
    </row>
    <row r="30" spans="1:7" ht="18" thickBot="1" x14ac:dyDescent="0.3">
      <c r="A30" s="2" t="s">
        <v>15</v>
      </c>
      <c r="B30" s="2">
        <v>17</v>
      </c>
      <c r="C30" s="2">
        <v>28</v>
      </c>
      <c r="D30" s="2" t="s">
        <v>16</v>
      </c>
      <c r="E30" s="3">
        <v>45325</v>
      </c>
      <c r="F30" s="2" t="s">
        <v>17</v>
      </c>
      <c r="G30" s="2" t="s">
        <v>18</v>
      </c>
    </row>
    <row r="31" spans="1:7" ht="18" thickBot="1" x14ac:dyDescent="0.3">
      <c r="A31" s="2" t="s">
        <v>19</v>
      </c>
      <c r="B31" s="2">
        <v>13</v>
      </c>
      <c r="C31" s="2">
        <v>24</v>
      </c>
      <c r="D31" s="2" t="s">
        <v>20</v>
      </c>
      <c r="E31" s="3">
        <v>45342</v>
      </c>
      <c r="F31" s="2" t="s">
        <v>21</v>
      </c>
      <c r="G31" s="2" t="s">
        <v>22</v>
      </c>
    </row>
    <row r="32" spans="1:7" ht="18" thickBot="1" x14ac:dyDescent="0.3">
      <c r="A32" s="2" t="s">
        <v>23</v>
      </c>
      <c r="B32" s="2">
        <v>14</v>
      </c>
      <c r="C32" s="2">
        <v>40</v>
      </c>
      <c r="D32" s="2" t="s">
        <v>24</v>
      </c>
      <c r="E32" s="3">
        <v>45350</v>
      </c>
      <c r="F32" s="2" t="s">
        <v>27</v>
      </c>
      <c r="G32" s="2" t="s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TotalsRelative">
                <anchor moveWithCells="1" sizeWithCells="1">
                  <from>
                    <xdr:col>9</xdr:col>
                    <xdr:colOff>476250</xdr:colOff>
                    <xdr:row>18</xdr:row>
                    <xdr:rowOff>47625</xdr:rowOff>
                  </from>
                  <to>
                    <xdr:col>14</xdr:col>
                    <xdr:colOff>38100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lculateTotalsAbsolute">
                <anchor moveWithCells="1" sizeWithCells="1">
                  <from>
                    <xdr:col>9</xdr:col>
                    <xdr:colOff>571500</xdr:colOff>
                    <xdr:row>0</xdr:row>
                    <xdr:rowOff>200025</xdr:rowOff>
                  </from>
                  <to>
                    <xdr:col>14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3301-A3F4-4E2B-936F-F1B9F93448C6}">
  <sheetPr codeName="Sheet7"/>
  <dimension ref="A1:I10"/>
  <sheetViews>
    <sheetView tabSelected="1" workbookViewId="0">
      <selection activeCell="N30" sqref="N29:N30"/>
    </sheetView>
  </sheetViews>
  <sheetFormatPr defaultRowHeight="15" x14ac:dyDescent="0.25"/>
  <cols>
    <col min="1" max="1" width="16.5703125" bestFit="1" customWidth="1"/>
    <col min="2" max="2" width="8.42578125" bestFit="1" customWidth="1"/>
    <col min="3" max="3" width="9.42578125" bestFit="1" customWidth="1"/>
    <col min="4" max="4" width="15.28515625" bestFit="1" customWidth="1"/>
    <col min="5" max="5" width="12.42578125" bestFit="1" customWidth="1"/>
    <col min="6" max="6" width="11.28515625" bestFit="1" customWidth="1"/>
    <col min="7" max="7" width="15.42578125" bestFit="1" customWidth="1"/>
    <col min="8" max="9" width="17.5703125" bestFit="1" customWidth="1"/>
  </cols>
  <sheetData>
    <row r="1" spans="1:9" x14ac:dyDescent="0.25">
      <c r="A1" s="8" t="s">
        <v>1</v>
      </c>
      <c r="B1" s="8" t="s">
        <v>2</v>
      </c>
      <c r="C1" s="8" t="s">
        <v>3</v>
      </c>
      <c r="D1" s="8" t="s">
        <v>4</v>
      </c>
      <c r="E1" s="8" t="s">
        <v>5</v>
      </c>
      <c r="F1" s="8" t="s">
        <v>0</v>
      </c>
      <c r="G1" s="8" t="s">
        <v>6</v>
      </c>
      <c r="H1" s="9" t="s">
        <v>29</v>
      </c>
      <c r="I1" s="10" t="s">
        <v>30</v>
      </c>
    </row>
    <row r="2" spans="1:9" ht="15.75" thickBot="1" x14ac:dyDescent="0.3">
      <c r="A2" t="s">
        <v>7</v>
      </c>
      <c r="B2">
        <v>24</v>
      </c>
      <c r="C2">
        <v>2.5</v>
      </c>
      <c r="D2" t="s">
        <v>8</v>
      </c>
      <c r="E2">
        <v>45303</v>
      </c>
      <c r="F2" t="s">
        <v>9</v>
      </c>
      <c r="G2" t="s">
        <v>10</v>
      </c>
      <c r="H2" s="5">
        <f>B2*C2</f>
        <v>60</v>
      </c>
      <c r="I2" s="5">
        <f>H2*(1+$B$10)</f>
        <v>64.86</v>
      </c>
    </row>
    <row r="3" spans="1:9" ht="18" thickBot="1" x14ac:dyDescent="0.3">
      <c r="A3" s="2" t="s">
        <v>11</v>
      </c>
      <c r="B3" s="2">
        <v>10</v>
      </c>
      <c r="C3" s="2">
        <v>4.8</v>
      </c>
      <c r="D3" s="2" t="s">
        <v>12</v>
      </c>
      <c r="E3" s="3">
        <v>45306</v>
      </c>
      <c r="F3" s="2" t="s">
        <v>13</v>
      </c>
      <c r="G3" s="2" t="s">
        <v>14</v>
      </c>
      <c r="H3" s="5">
        <f t="shared" ref="H3:H6" si="0">B3*C3</f>
        <v>48</v>
      </c>
      <c r="I3" s="5">
        <f t="shared" ref="I3:I6" si="1">H3*(1+$B$10)</f>
        <v>51.887999999999998</v>
      </c>
    </row>
    <row r="4" spans="1:9" ht="18" thickBot="1" x14ac:dyDescent="0.3">
      <c r="A4" s="2" t="s">
        <v>15</v>
      </c>
      <c r="B4" s="2">
        <v>7</v>
      </c>
      <c r="C4" s="2">
        <v>19.899999999999999</v>
      </c>
      <c r="D4" s="2" t="s">
        <v>16</v>
      </c>
      <c r="E4" s="3">
        <v>45325</v>
      </c>
      <c r="F4" s="2" t="s">
        <v>17</v>
      </c>
      <c r="G4" s="2" t="s">
        <v>18</v>
      </c>
      <c r="H4" s="5">
        <f t="shared" si="0"/>
        <v>139.29999999999998</v>
      </c>
      <c r="I4" s="5">
        <f t="shared" si="1"/>
        <v>150.58329999999998</v>
      </c>
    </row>
    <row r="5" spans="1:9" ht="18" thickBot="1" x14ac:dyDescent="0.3">
      <c r="A5" s="2" t="s">
        <v>19</v>
      </c>
      <c r="B5" s="2">
        <v>3</v>
      </c>
      <c r="C5" s="2">
        <v>35</v>
      </c>
      <c r="D5" s="2" t="s">
        <v>20</v>
      </c>
      <c r="E5" s="3">
        <v>45342</v>
      </c>
      <c r="F5" s="2" t="s">
        <v>21</v>
      </c>
      <c r="G5" s="2" t="s">
        <v>22</v>
      </c>
      <c r="H5" s="5">
        <f t="shared" si="0"/>
        <v>105</v>
      </c>
      <c r="I5" s="5">
        <f t="shared" si="1"/>
        <v>113.505</v>
      </c>
    </row>
    <row r="6" spans="1:9" ht="18" thickBot="1" x14ac:dyDescent="0.3">
      <c r="A6" s="2" t="s">
        <v>23</v>
      </c>
      <c r="B6" s="2">
        <v>4</v>
      </c>
      <c r="C6" s="2">
        <v>49</v>
      </c>
      <c r="D6" s="2" t="s">
        <v>24</v>
      </c>
      <c r="E6" s="3">
        <v>45350</v>
      </c>
      <c r="F6" s="2" t="s">
        <v>25</v>
      </c>
      <c r="G6" s="2" t="s">
        <v>26</v>
      </c>
      <c r="H6" s="5">
        <f t="shared" si="0"/>
        <v>196</v>
      </c>
      <c r="I6" s="5">
        <f t="shared" si="1"/>
        <v>211.876</v>
      </c>
    </row>
    <row r="7" spans="1:9" x14ac:dyDescent="0.25">
      <c r="H7" s="5"/>
      <c r="I7" s="5"/>
    </row>
    <row r="8" spans="1:9" x14ac:dyDescent="0.25">
      <c r="H8" s="5"/>
      <c r="I8" s="5"/>
    </row>
    <row r="9" spans="1:9" x14ac:dyDescent="0.25">
      <c r="H9" s="5"/>
      <c r="I9" s="5"/>
    </row>
    <row r="10" spans="1:9" ht="26.25" x14ac:dyDescent="0.4">
      <c r="A10" t="s">
        <v>28</v>
      </c>
      <c r="B10" s="4">
        <v>8.1000000000000003E-2</v>
      </c>
      <c r="G10" s="6" t="s">
        <v>27</v>
      </c>
      <c r="H10" s="7">
        <f>SUM(H2:H6)</f>
        <v>548.29999999999995</v>
      </c>
      <c r="I10" s="7">
        <f>SUM(I2:I6)</f>
        <v>592.71229999999991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TotalsRelative">
                <anchor moveWithCells="1" sizeWithCells="1">
                  <from>
                    <xdr:col>12</xdr:col>
                    <xdr:colOff>476250</xdr:colOff>
                    <xdr:row>3</xdr:row>
                    <xdr:rowOff>47625</xdr:rowOff>
                  </from>
                  <to>
                    <xdr:col>17</xdr:col>
                    <xdr:colOff>38100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otalWithTax">
                <anchor moveWithCells="1" sizeWithCells="1">
                  <from>
                    <xdr:col>12</xdr:col>
                    <xdr:colOff>476250</xdr:colOff>
                    <xdr:row>7</xdr:row>
                    <xdr:rowOff>19050</xdr:rowOff>
                  </from>
                  <to>
                    <xdr:col>17</xdr:col>
                    <xdr:colOff>38100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FormatNumbers">
                <anchor moveWithCells="1" sizeWithCells="1">
                  <from>
                    <xdr:col>12</xdr:col>
                    <xdr:colOff>476250</xdr:colOff>
                    <xdr:row>10</xdr:row>
                    <xdr:rowOff>142875</xdr:rowOff>
                  </from>
                  <to>
                    <xdr:col>17</xdr:col>
                    <xdr:colOff>38100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FormatHeaders">
                <anchor moveWithCells="1" sizeWithCells="1">
                  <from>
                    <xdr:col>12</xdr:col>
                    <xdr:colOff>476250</xdr:colOff>
                    <xdr:row>15</xdr:row>
                    <xdr:rowOff>38100</xdr:rowOff>
                  </from>
                  <to>
                    <xdr:col>17</xdr:col>
                    <xdr:colOff>38100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91C894CD66ED48AC973EF20A18CDFE" ma:contentTypeVersion="3" ma:contentTypeDescription="Crée un document." ma:contentTypeScope="" ma:versionID="1948615285ab9820494fbd7f34f3b50c">
  <xsd:schema xmlns:xsd="http://www.w3.org/2001/XMLSchema" xmlns:xs="http://www.w3.org/2001/XMLSchema" xmlns:p="http://schemas.microsoft.com/office/2006/metadata/properties" xmlns:ns2="34a2ad5d-0218-42aa-b47d-5ef41059852a" targetNamespace="http://schemas.microsoft.com/office/2006/metadata/properties" ma:root="true" ma:fieldsID="cbfd8c5ad6a9565e655b2e28b92ba184" ns2:_="">
    <xsd:import namespace="34a2ad5d-0218-42aa-b47d-5ef4105985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a2ad5d-0218-42aa-b47d-5ef4105985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E1E56F-BD40-4EB2-A08B-76A7B7E96A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a2ad5d-0218-42aa-b47d-5ef4105985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5A1E95-4FF9-4CD7-A3D7-052EBD733CAF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037ed5ce-9e80-41f7-81a5-4f297c26d5d9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9979E76-C09E-4EE2-90AB-65E816AC33E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Macro1-2</vt:lpstr>
      <vt:lpstr>Macro3-5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Ludovic Moreau, manager</dc:creator>
  <cp:lastModifiedBy>Ludovic Moreau, manager</cp:lastModifiedBy>
  <dcterms:created xsi:type="dcterms:W3CDTF">2026-07-08T16:48:07Z</dcterms:created>
  <dcterms:modified xsi:type="dcterms:W3CDTF">2026-07-08T21:45:48Z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0x0101006891C894CD66ED48AC973EF20A18CDFE</vt:lpwstr>
  </property>
  <property fmtid="{D5CDD505-2E9C-101B-9397-08002B2CF9AE}" pid="3" name="Langue">
    <vt:lpwstr>FRANCAIS</vt:lpwstr>
  </property>
</Properties>
</file>