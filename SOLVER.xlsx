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-GENERAL/"/>
    </mc:Choice>
  </mc:AlternateContent>
  <xr:revisionPtr revIDLastSave="1649" documentId="13_ncr:1_{224DF782-2E54-487A-8CA3-0F17AB1D21B1}" xr6:coauthVersionLast="47" xr6:coauthVersionMax="47" xr10:uidLastSave="{A250CED7-1760-49BB-9031-0B899A3FA094}"/>
  <bookViews>
    <workbookView xWindow="-28920" yWindow="-120" windowWidth="29040" windowHeight="17520" activeTab="3" xr2:uid="{74BF43AA-9FD5-43E1-90C7-BC36B4A71236}"/>
  </bookViews>
  <sheets>
    <sheet name="Goal seek" sheetId="3" r:id="rId1"/>
    <sheet name="basic solver" sheetId="1" r:id="rId2"/>
    <sheet name="advanced solver 1" sheetId="2" r:id="rId3"/>
    <sheet name="advanced solver 2" sheetId="4" r:id="rId4"/>
  </sheets>
  <definedNames>
    <definedName name="solver_adj" localSheetId="2" hidden="1">'advanced solver 1'!$C$8:$D$17</definedName>
    <definedName name="solver_adj" localSheetId="3" hidden="1">'advanced solver 2'!$B$5:$B$11</definedName>
    <definedName name="solver_adj" localSheetId="1" hidden="1">'basic solver'!$C$5:$C$6,'basic solver'!$C$11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eng" localSheetId="2" hidden="1">1</definedName>
    <definedName name="solver_eng" localSheetId="3" hidden="1">2</definedName>
    <definedName name="solver_eng" localSheetId="1" hidden="1">1</definedName>
    <definedName name="solver_est" localSheetId="2" hidden="1">1</definedName>
    <definedName name="solver_est" localSheetId="3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lhs1" localSheetId="2" hidden="1">'advanced solver 1'!$C$8:$C$17</definedName>
    <definedName name="solver_lhs1" localSheetId="3" hidden="1">'advanced solver 2'!$B$12</definedName>
    <definedName name="solver_lhs1" localSheetId="1" hidden="1">'basic solver'!$C$11</definedName>
    <definedName name="solver_lhs2" localSheetId="2" hidden="1">'advanced solver 1'!$D$8:$D$17</definedName>
    <definedName name="solver_lhs2" localSheetId="3" hidden="1">'advanced solver 2'!$B$5:$B$11</definedName>
    <definedName name="solver_lhs2" localSheetId="1" hidden="1">'basic solver'!$C$5</definedName>
    <definedName name="solver_lhs3" localSheetId="2" hidden="1">'advanced solver 1'!$D$8:$D$17</definedName>
    <definedName name="solver_lhs3" localSheetId="3" hidden="1">'advanced solver 2'!$B$5:$B$11</definedName>
    <definedName name="solver_lhs3" localSheetId="1" hidden="1">'basic solver'!$C$6</definedName>
    <definedName name="solver_lhs4" localSheetId="2" hidden="1">'advanced solver 1'!$E$8:$E$17</definedName>
    <definedName name="solver_lhs4" localSheetId="3" hidden="1">'advanced solver 2'!$B$5:$B$11</definedName>
    <definedName name="solver_lhs5" localSheetId="2" hidden="1">'advanced solver 1'!$E$8:$E$17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um" localSheetId="2" hidden="1">4</definedName>
    <definedName name="solver_num" localSheetId="3" hidden="1">4</definedName>
    <definedName name="solver_num" localSheetId="1" hidden="1">3</definedName>
    <definedName name="solver_nwt" localSheetId="2" hidden="1">1</definedName>
    <definedName name="solver_nwt" localSheetId="3" hidden="1">1</definedName>
    <definedName name="solver_nwt" localSheetId="1" hidden="1">1</definedName>
    <definedName name="solver_opt" localSheetId="2" hidden="1">'advanced solver 1'!$E$18</definedName>
    <definedName name="solver_opt" localSheetId="1" hidden="1">'basic solver'!$C$15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1" hidden="1">1</definedName>
    <definedName name="solver_rel1" localSheetId="2" hidden="1">2</definedName>
    <definedName name="solver_rel1" localSheetId="3" hidden="1">1</definedName>
    <definedName name="solver_rel1" localSheetId="1" hidden="1">1</definedName>
    <definedName name="solver_rel2" localSheetId="2" hidden="1">1</definedName>
    <definedName name="solver_rel2" localSheetId="3" hidden="1">1</definedName>
    <definedName name="solver_rel2" localSheetId="1" hidden="1">4</definedName>
    <definedName name="solver_rel3" localSheetId="2" hidden="1">4</definedName>
    <definedName name="solver_rel3" localSheetId="3" hidden="1">4</definedName>
    <definedName name="solver_rel3" localSheetId="1" hidden="1">1</definedName>
    <definedName name="solver_rel4" localSheetId="2" hidden="1">1</definedName>
    <definedName name="solver_rel4" localSheetId="3" hidden="1">3</definedName>
    <definedName name="solver_rel5" localSheetId="2" hidden="1">1</definedName>
    <definedName name="solver_rhs1" localSheetId="2" hidden="1">'advanced solver 1'!$F$25</definedName>
    <definedName name="solver_rhs1" localSheetId="3" hidden="1">'advanced solver 2'!$B$15</definedName>
    <definedName name="solver_rhs1" localSheetId="1" hidden="1">1.5</definedName>
    <definedName name="solver_rhs2" localSheetId="2" hidden="1">'advanced solver 1'!$F$24</definedName>
    <definedName name="solver_rhs2" localSheetId="3" hidden="1">'advanced solver 2'!$C$5:$C$11</definedName>
    <definedName name="solver_rhs2" localSheetId="1" hidden="1">"integer"</definedName>
    <definedName name="solver_rhs3" localSheetId="2" hidden="1">"integer"</definedName>
    <definedName name="solver_rhs3" localSheetId="3" hidden="1">"entier"</definedName>
    <definedName name="solver_rhs3" localSheetId="1" hidden="1">4</definedName>
    <definedName name="solver_rhs4" localSheetId="2" hidden="1">'advanced solver 1'!$F$26</definedName>
    <definedName name="solver_rhs4" localSheetId="3" hidden="1">1000</definedName>
    <definedName name="solver_rhs5" localSheetId="2" hidden="1">'advanced solver 1'!$F$26</definedName>
    <definedName name="solver_rlx" localSheetId="2" hidden="1">2</definedName>
    <definedName name="solver_rlx" localSheetId="3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yp" localSheetId="2" hidden="1">3</definedName>
    <definedName name="solver_typ" localSheetId="3" hidden="1">1</definedName>
    <definedName name="solver_typ" localSheetId="1" hidden="1">3</definedName>
    <definedName name="solver_val" localSheetId="2" hidden="1">65000</definedName>
    <definedName name="solver_val" localSheetId="3" hidden="1">0</definedName>
    <definedName name="solver_val" localSheetId="1" hidden="1">2000</definedName>
    <definedName name="solver_ver" localSheetId="2" hidden="1">3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2" i="4"/>
  <c r="E6" i="4"/>
  <c r="E7" i="4"/>
  <c r="E8" i="4"/>
  <c r="E9" i="4"/>
  <c r="E10" i="4"/>
  <c r="E11" i="4"/>
  <c r="E5" i="4"/>
  <c r="E9" i="2"/>
  <c r="E10" i="2"/>
  <c r="E11" i="2"/>
  <c r="E12" i="2"/>
  <c r="E13" i="2"/>
  <c r="E14" i="2"/>
  <c r="E15" i="2"/>
  <c r="E16" i="2"/>
  <c r="E17" i="2"/>
  <c r="E8" i="2"/>
  <c r="C12" i="1"/>
  <c r="C7" i="1"/>
  <c r="C15" i="1" l="1"/>
  <c r="E15" i="4"/>
  <c r="E18" i="2"/>
</calcChain>
</file>

<file path=xl/sharedStrings.xml><?xml version="1.0" encoding="utf-8"?>
<sst xmlns="http://schemas.openxmlformats.org/spreadsheetml/2006/main" count="80" uniqueCount="75">
  <si>
    <t>Using Solver to reach my goal</t>
  </si>
  <si>
    <t>Units sold</t>
  </si>
  <si>
    <t>Price per unit</t>
  </si>
  <si>
    <t>Revenue</t>
  </si>
  <si>
    <t>Cost per unit</t>
  </si>
  <si>
    <t>Costs</t>
  </si>
  <si>
    <t>Income</t>
  </si>
  <si>
    <t>INPUT</t>
  </si>
  <si>
    <t>FORMULA</t>
  </si>
  <si>
    <t>C5*C6</t>
  </si>
  <si>
    <t>C5*C11</t>
  </si>
  <si>
    <t>C7-C12</t>
  </si>
  <si>
    <t xml:space="preserve">GOAL: </t>
  </si>
  <si>
    <t>Determine the number of units  needed to be  sold to reach an income of 2000</t>
  </si>
  <si>
    <t>Cost per unit must stay under 1,5</t>
  </si>
  <si>
    <t xml:space="preserve">Estimated budget for Projects </t>
  </si>
  <si>
    <t>Project</t>
  </si>
  <si>
    <t>Production costs</t>
  </si>
  <si>
    <t>Fixed costs</t>
  </si>
  <si>
    <t>Extra costs</t>
  </si>
  <si>
    <t>Total Costs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</si>
  <si>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</si>
  <si>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</si>
  <si>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</si>
  <si>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</si>
  <si>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</si>
  <si>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</si>
  <si>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</si>
  <si>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</si>
  <si>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</si>
  <si>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</si>
  <si>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TOTAL</t>
  </si>
  <si>
    <t>Constraints</t>
  </si>
  <si>
    <t xml:space="preserve">Total budget should not exceed </t>
  </si>
  <si>
    <t xml:space="preserve">Fixed costs need to be </t>
  </si>
  <si>
    <t xml:space="preserve">Total cost (integer) per project should not exceed </t>
  </si>
  <si>
    <t>Extra costs (integer) should not exceed</t>
  </si>
  <si>
    <t>Goal seek is located in Data &gt; What-if Analysis &gt; Goal seek</t>
  </si>
  <si>
    <t>QUESTIONS</t>
  </si>
  <si>
    <t>unit price</t>
  </si>
  <si>
    <t>Unit cost</t>
  </si>
  <si>
    <t>Fixed cost</t>
  </si>
  <si>
    <t>Total profit</t>
  </si>
  <si>
    <t>1/ How many units do I need to sell to break even ?</t>
  </si>
  <si>
    <t>1/ For a break even, profit should be 0</t>
  </si>
  <si>
    <t>you need to sell 4546 cookies to break even</t>
  </si>
  <si>
    <t>2/ How many units do I need to sell to make a 10'000 profit</t>
  </si>
  <si>
    <t>2/ For 10'000 profit</t>
  </si>
  <si>
    <t xml:space="preserve">In goal seek, Set the 'To value' to 10'000 </t>
  </si>
  <si>
    <t>You need to sell 9091 cookies to make a10'000 profit</t>
  </si>
  <si>
    <t>GOAL SEEK will find iterate through the input numbers until it finds a solution to your formula that matches the goal</t>
  </si>
  <si>
    <t>If you have constraints, use solver instead of Goal seek</t>
  </si>
  <si>
    <t>How to maximize production ?</t>
  </si>
  <si>
    <t>Product Name</t>
  </si>
  <si>
    <t>Qty to produce</t>
  </si>
  <si>
    <t>Max demand</t>
  </si>
  <si>
    <t>Profit per unit</t>
  </si>
  <si>
    <t>Product 1</t>
  </si>
  <si>
    <t>Product 2</t>
  </si>
  <si>
    <t>Product 3</t>
  </si>
  <si>
    <t>Product 4</t>
  </si>
  <si>
    <t>Product 5</t>
  </si>
  <si>
    <t>Product 6</t>
  </si>
  <si>
    <t>Product 7</t>
  </si>
  <si>
    <t>Total manufactured</t>
  </si>
  <si>
    <t>Max of Manufactured products</t>
  </si>
  <si>
    <t>profit</t>
  </si>
  <si>
    <t xml:space="preserve">Which </t>
  </si>
  <si>
    <t>Total quantity produced has to remain under 15000</t>
  </si>
  <si>
    <t>Each qty should not exceed the demand for that product</t>
  </si>
  <si>
    <t>Price per unit must be under 4</t>
  </si>
  <si>
    <t>Objective in E18</t>
  </si>
  <si>
    <t>Every qty should be integer and greater than 1000</t>
  </si>
  <si>
    <t>Variables in C8:D17</t>
  </si>
  <si>
    <t>In Goal seek dialog, 'Set Cell' to $B$12, 'To value' to 0 and 'by changing cell' to $B$8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</si>
</sst>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CHF&quot;_-;\-* #,##0.00\ &quot;CHF&quot;_-;_-* &quot;-&quot;??\ &quot;CHF&quot;_-;_-@_-"/>
    <numFmt numFmtId="164" formatCode="_-* #,##0\ &quot;CHF&quot;_-;\-* #,##0\ &quot;CHF&quot;_-;_-* &quot;-&quot;??\ &quot;CHF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9">
    <xf numFmtId="0" fontId="0" fillId="0" borderId="0" xfId="0"/>
    <xf numFmtId="0" fontId="5" fillId="0" borderId="0" xfId="0" applyFont="1"/>
    <xf numFmtId="0" fontId="4" fillId="0" borderId="0" xfId="0" applyFont="1"/>
    <xf numFmtId="0" fontId="3" fillId="3" borderId="0" xfId="3"/>
    <xf numFmtId="0" fontId="2" fillId="2" borderId="0" xfId="2"/>
    <xf numFmtId="49" fontId="0" fillId="0" borderId="0" xfId="0" applyNumberFormat="1"/>
    <xf numFmtId="0" fontId="4" fillId="4" borderId="0" xfId="0" applyFont="1" applyFill="1"/>
    <xf numFmtId="0" fontId="7" fillId="2" borderId="0" xfId="2" applyFont="1"/>
    <xf numFmtId="0" fontId="0" fillId="5" borderId="0" xfId="0" applyFill="1"/>
    <xf numFmtId="0" fontId="0" fillId="5" borderId="0" xfId="0" applyFill="1" applyAlignment="1">
      <alignment horizontal="right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/>
    <xf numFmtId="0" fontId="8" fillId="0" borderId="0" xfId="0" applyFont="1"/>
    <xf numFmtId="44" fontId="0" fillId="0" borderId="0" xfId="1" applyFont="1"/>
    <xf numFmtId="164" fontId="0" fillId="0" borderId="0" xfId="1" applyNumberFormat="1" applyFont="1"/>
    <xf numFmtId="164" fontId="2" fillId="2" borderId="0" xfId="1" applyNumberFormat="1" applyFont="1" applyFill="1"/>
    <xf numFmtId="1" fontId="3" fillId="3" borderId="0" xfId="3" applyNumberFormat="1"/>
    <xf numFmtId="1" fontId="0" fillId="0" borderId="0" xfId="0" applyNumberFormat="1"/>
    <xf numFmtId="0" fontId="0" fillId="0" borderId="1" xfId="0" applyBorder="1"/>
  </cellXfs>
  <cellStyles count="4">
    <cellStyle name="Currency" xfId="1" builtinId="4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AE32-935B-49E4-8327-44842BF8F689}">
  <dimension ref="A1:B26"/>
  <sheetViews>
    <sheetView workbookViewId="0">
      <selection activeCell="A17" sqref="A17"/>
    </sheetView>
  </sheetViews>
  <sheetFormatPr defaultColWidth="9.140625" defaultRowHeight="15" x14ac:dyDescent="0.25"/>
  <cols>
    <col min="1" max="1" width="13.42578125" customWidth="1"/>
    <col min="2" max="2" width="14.42578125" bestFit="1" customWidth="1"/>
  </cols>
  <sheetData>
    <row r="1" spans="1:2" x14ac:dyDescent="0.25">
      <c r="A1" t="s">
        <v>37</v>
      </c>
    </row>
    <row r="3" spans="1:2" x14ac:dyDescent="0.25">
      <c r="A3" s="2" t="s">
        <v>38</v>
      </c>
    </row>
    <row r="4" spans="1:2" x14ac:dyDescent="0.25">
      <c r="A4" t="s">
        <v>43</v>
      </c>
    </row>
    <row r="6" spans="1:2" x14ac:dyDescent="0.25">
      <c r="A6" t="s">
        <v>46</v>
      </c>
    </row>
    <row r="8" spans="1:2" x14ac:dyDescent="0.25">
      <c r="A8" s="2" t="s">
        <v>1</v>
      </c>
      <c r="B8" s="3">
        <v>9090.9090909090901</v>
      </c>
    </row>
    <row r="9" spans="1:2" x14ac:dyDescent="0.25">
      <c r="A9" s="2" t="s">
        <v>39</v>
      </c>
      <c r="B9" s="13">
        <v>5</v>
      </c>
    </row>
    <row r="10" spans="1:2" x14ac:dyDescent="0.25">
      <c r="A10" s="2" t="s">
        <v>40</v>
      </c>
      <c r="B10" s="13">
        <v>2.8</v>
      </c>
    </row>
    <row r="11" spans="1:2" x14ac:dyDescent="0.25">
      <c r="A11" s="2" t="s">
        <v>41</v>
      </c>
      <c r="B11" s="14">
        <v>10000</v>
      </c>
    </row>
    <row r="12" spans="1:2" x14ac:dyDescent="0.25">
      <c r="A12" s="2" t="s">
        <v>42</v>
      </c>
      <c r="B12" s="15">
        <f>B8*(B9-B10)-B11</f>
        <v>10000</v>
      </c>
    </row>
    <row r="15" spans="1:2" x14ac:dyDescent="0.25">
      <c r="A15" s="2" t="s">
        <v>44</v>
      </c>
    </row>
    <row r="16" spans="1:2" x14ac:dyDescent="0.25">
      <c r="A16" t="s">
        <v>74</v>
      </c>
    </row>
    <row r="17" spans="1:1" x14ac:dyDescent="0.25">
      <c r="A17" t="s">
        <v>45</v>
      </c>
    </row>
    <row r="19" spans="1:1" x14ac:dyDescent="0.25">
      <c r="A19" s="2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4" spans="1:1" x14ac:dyDescent="0.25">
      <c r="A24" t="s">
        <v>50</v>
      </c>
    </row>
    <row r="26" spans="1:1" x14ac:dyDescent="0.25">
      <c r="A2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76E8-733D-4AEA-9B42-CE48F685B96D}">
  <dimension ref="A2:D22"/>
  <sheetViews>
    <sheetView workbookViewId="0">
      <selection activeCell="C5" sqref="C5"/>
    </sheetView>
  </sheetViews>
  <sheetFormatPr defaultColWidth="9.140625" defaultRowHeight="15" x14ac:dyDescent="0.25"/>
  <sheetData>
    <row r="2" spans="1:4" ht="26.25" x14ac:dyDescent="0.4">
      <c r="A2" s="1" t="s">
        <v>0</v>
      </c>
    </row>
    <row r="3" spans="1:4" x14ac:dyDescent="0.25">
      <c r="C3" s="3" t="s">
        <v>7</v>
      </c>
      <c r="D3" s="4" t="s">
        <v>8</v>
      </c>
    </row>
    <row r="5" spans="1:4" x14ac:dyDescent="0.25">
      <c r="A5" s="2" t="s">
        <v>1</v>
      </c>
      <c r="C5" s="3">
        <v>800</v>
      </c>
    </row>
    <row r="6" spans="1:4" x14ac:dyDescent="0.25">
      <c r="A6" s="2" t="s">
        <v>2</v>
      </c>
      <c r="C6" s="3">
        <v>4</v>
      </c>
    </row>
    <row r="7" spans="1:4" x14ac:dyDescent="0.25">
      <c r="A7" s="2" t="s">
        <v>3</v>
      </c>
      <c r="C7" s="4">
        <f>C5*C6</f>
        <v>3200</v>
      </c>
      <c r="D7" s="5" t="s">
        <v>9</v>
      </c>
    </row>
    <row r="11" spans="1:4" x14ac:dyDescent="0.25">
      <c r="A11" s="2" t="s">
        <v>4</v>
      </c>
      <c r="C11" s="3">
        <v>1.5</v>
      </c>
    </row>
    <row r="12" spans="1:4" x14ac:dyDescent="0.25">
      <c r="A12" s="2" t="s">
        <v>5</v>
      </c>
      <c r="C12" s="4">
        <f>C5*C11</f>
        <v>1200</v>
      </c>
      <c r="D12" t="s">
        <v>10</v>
      </c>
    </row>
    <row r="13" spans="1:4" x14ac:dyDescent="0.25">
      <c r="A13" s="2"/>
    </row>
    <row r="14" spans="1:4" x14ac:dyDescent="0.25">
      <c r="A14" s="2"/>
    </row>
    <row r="15" spans="1:4" x14ac:dyDescent="0.25">
      <c r="A15" s="2" t="s">
        <v>6</v>
      </c>
      <c r="C15" s="4">
        <f>C7-C12</f>
        <v>2000</v>
      </c>
      <c r="D15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70</v>
      </c>
    </row>
    <row r="22" spans="1:1" x14ac:dyDescent="0.25">
      <c r="A2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AC25-12F7-4DCD-8152-FF4946F52296}">
  <dimension ref="A4:H30"/>
  <sheetViews>
    <sheetView workbookViewId="0">
      <selection activeCell="C8" sqref="C8:D17"/>
    </sheetView>
  </sheetViews>
  <sheetFormatPr defaultColWidth="9.140625" defaultRowHeight="15" x14ac:dyDescent="0.25"/>
  <cols>
    <col min="2" max="2" width="15.5703125" bestFit="1" customWidth="1"/>
    <col min="3" max="3" width="10.7109375" bestFit="1" customWidth="1"/>
    <col min="4" max="4" width="10.28515625" bestFit="1" customWidth="1"/>
    <col min="5" max="5" width="10.28515625" customWidth="1"/>
  </cols>
  <sheetData>
    <row r="4" spans="1:8" x14ac:dyDescent="0.25">
      <c r="A4" t="s">
        <v>15</v>
      </c>
      <c r="E4" s="3" t="s">
        <v>7</v>
      </c>
      <c r="F4" s="4" t="s">
        <v>8</v>
      </c>
    </row>
    <row r="7" spans="1:8" x14ac:dyDescent="0.25">
      <c r="A7" s="6" t="s">
        <v>16</v>
      </c>
      <c r="B7" s="6" t="s">
        <v>17</v>
      </c>
      <c r="C7" s="6" t="s">
        <v>18</v>
      </c>
      <c r="D7" s="6" t="s">
        <v>19</v>
      </c>
      <c r="E7" s="6" t="s">
        <v>20</v>
      </c>
    </row>
    <row r="8" spans="1:8" x14ac:dyDescent="0.25">
      <c r="A8" t="s">
        <v>21</v>
      </c>
      <c r="B8">
        <v>4500</v>
      </c>
      <c r="C8" s="3">
        <v>0</v>
      </c>
      <c r="D8" s="3">
        <v>0</v>
      </c>
      <c r="E8" s="4">
        <f>SUM(B8:D8)</f>
        <v>4500</v>
      </c>
      <c r="H8" s="2"/>
    </row>
    <row r="9" spans="1:8" x14ac:dyDescent="0.25">
      <c r="A9" t="s">
        <v>22</v>
      </c>
      <c r="B9">
        <v>5000</v>
      </c>
      <c r="C9" s="3">
        <v>0</v>
      </c>
      <c r="D9" s="3">
        <v>0</v>
      </c>
      <c r="E9" s="4">
        <f t="shared" ref="E9:E17" si="0">SUM(B9:D9)</f>
        <v>5000</v>
      </c>
    </row>
    <row r="10" spans="1:8" x14ac:dyDescent="0.25">
      <c r="A10" t="s">
        <v>23</v>
      </c>
      <c r="B10">
        <v>6500</v>
      </c>
      <c r="C10" s="3">
        <v>0</v>
      </c>
      <c r="D10" s="3">
        <v>0</v>
      </c>
      <c r="E10" s="4">
        <f t="shared" si="0"/>
        <v>6500</v>
      </c>
    </row>
    <row r="11" spans="1:8" x14ac:dyDescent="0.25">
      <c r="A11" t="s">
        <v>24</v>
      </c>
      <c r="B11">
        <v>4000</v>
      </c>
      <c r="C11" s="3">
        <v>0</v>
      </c>
      <c r="D11" s="3">
        <v>0</v>
      </c>
      <c r="E11" s="4">
        <f t="shared" si="0"/>
        <v>4000</v>
      </c>
    </row>
    <row r="12" spans="1:8" x14ac:dyDescent="0.25">
      <c r="A12" t="s">
        <v>25</v>
      </c>
      <c r="B12">
        <v>4200</v>
      </c>
      <c r="C12" s="3">
        <v>0</v>
      </c>
      <c r="D12" s="3">
        <v>0</v>
      </c>
      <c r="E12" s="4">
        <f t="shared" si="0"/>
        <v>4200</v>
      </c>
    </row>
    <row r="13" spans="1:8" x14ac:dyDescent="0.25">
      <c r="A13" t="s">
        <v>26</v>
      </c>
      <c r="B13">
        <v>4500</v>
      </c>
      <c r="C13" s="3">
        <v>0</v>
      </c>
      <c r="D13" s="3">
        <v>0</v>
      </c>
      <c r="E13" s="4">
        <f t="shared" si="0"/>
        <v>4500</v>
      </c>
    </row>
    <row r="14" spans="1:8" x14ac:dyDescent="0.25">
      <c r="A14" t="s">
        <v>27</v>
      </c>
      <c r="B14">
        <v>4000</v>
      </c>
      <c r="C14" s="3">
        <v>0</v>
      </c>
      <c r="D14" s="3">
        <v>0</v>
      </c>
      <c r="E14" s="4">
        <f t="shared" si="0"/>
        <v>4000</v>
      </c>
    </row>
    <row r="15" spans="1:8" x14ac:dyDescent="0.25">
      <c r="A15" t="s">
        <v>28</v>
      </c>
      <c r="B15">
        <v>3500</v>
      </c>
      <c r="C15" s="3">
        <v>0</v>
      </c>
      <c r="D15" s="3">
        <v>0</v>
      </c>
      <c r="E15" s="4">
        <f t="shared" si="0"/>
        <v>3500</v>
      </c>
    </row>
    <row r="16" spans="1:8" x14ac:dyDescent="0.25">
      <c r="A16" t="s">
        <v>29</v>
      </c>
      <c r="B16">
        <v>3800</v>
      </c>
      <c r="C16" s="3">
        <v>0</v>
      </c>
      <c r="D16" s="3">
        <v>0</v>
      </c>
      <c r="E16" s="4">
        <f t="shared" si="0"/>
        <v>3800</v>
      </c>
    </row>
    <row r="17" spans="1:6" x14ac:dyDescent="0.25">
      <c r="A17" t="s">
        <v>30</v>
      </c>
      <c r="B17">
        <v>4200</v>
      </c>
      <c r="C17" s="3">
        <v>0</v>
      </c>
      <c r="D17" s="3">
        <v>0</v>
      </c>
      <c r="E17" s="4">
        <f t="shared" si="0"/>
        <v>4200</v>
      </c>
    </row>
    <row r="18" spans="1:6" x14ac:dyDescent="0.25">
      <c r="D18" s="2" t="s">
        <v>31</v>
      </c>
      <c r="E18" s="7">
        <f>SUM(E8:E17)</f>
        <v>44200</v>
      </c>
    </row>
    <row r="22" spans="1:6" x14ac:dyDescent="0.25">
      <c r="A22" s="10" t="s">
        <v>32</v>
      </c>
      <c r="B22" s="11"/>
      <c r="C22" s="11"/>
      <c r="D22" s="11"/>
      <c r="E22" s="11"/>
      <c r="F22" s="11"/>
    </row>
    <row r="23" spans="1:6" x14ac:dyDescent="0.25">
      <c r="A23" s="8"/>
      <c r="B23" s="8"/>
      <c r="C23" s="8"/>
      <c r="D23" s="8"/>
      <c r="E23" s="9" t="s">
        <v>33</v>
      </c>
      <c r="F23" s="8">
        <v>65000</v>
      </c>
    </row>
    <row r="24" spans="1:6" x14ac:dyDescent="0.25">
      <c r="A24" s="8"/>
      <c r="B24" s="8"/>
      <c r="C24" s="8"/>
      <c r="D24" s="8"/>
      <c r="E24" s="9" t="s">
        <v>36</v>
      </c>
      <c r="F24" s="8">
        <v>1000</v>
      </c>
    </row>
    <row r="25" spans="1:6" x14ac:dyDescent="0.25">
      <c r="A25" s="8"/>
      <c r="B25" s="8"/>
      <c r="C25" s="8"/>
      <c r="D25" s="8"/>
      <c r="E25" s="9" t="s">
        <v>34</v>
      </c>
      <c r="F25" s="8">
        <v>1600</v>
      </c>
    </row>
    <row r="26" spans="1:6" x14ac:dyDescent="0.25">
      <c r="A26" s="8"/>
      <c r="B26" s="8"/>
      <c r="C26" s="8"/>
      <c r="D26" s="8"/>
      <c r="E26" s="9" t="s">
        <v>35</v>
      </c>
      <c r="F26" s="8">
        <v>9500</v>
      </c>
    </row>
    <row r="29" spans="1:6" ht="18.75" x14ac:dyDescent="0.3">
      <c r="B29" s="12" t="s">
        <v>71</v>
      </c>
    </row>
    <row r="30" spans="1:6" ht="18.75" x14ac:dyDescent="0.3">
      <c r="B30" s="12" t="s">
        <v>73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B0C6-E3F5-4609-B03E-41F279ED43A0}">
  <dimension ref="A2:E21"/>
  <sheetViews>
    <sheetView tabSelected="1" workbookViewId="0">
      <selection activeCell="G15" sqref="G15"/>
    </sheetView>
  </sheetViews>
  <sheetFormatPr defaultColWidth="9.140625" defaultRowHeight="15" x14ac:dyDescent="0.25"/>
  <cols>
    <col min="1" max="1" width="28.42578125" bestFit="1" customWidth="1"/>
    <col min="2" max="2" width="14.28515625" bestFit="1" customWidth="1"/>
    <col min="3" max="3" width="12.42578125" bestFit="1" customWidth="1"/>
    <col min="4" max="4" width="13.140625" customWidth="1"/>
    <col min="5" max="5" width="14.42578125" bestFit="1" customWidth="1"/>
  </cols>
  <sheetData>
    <row r="2" spans="1:5" x14ac:dyDescent="0.25">
      <c r="A2" s="2" t="s">
        <v>52</v>
      </c>
    </row>
    <row r="3" spans="1:5" x14ac:dyDescent="0.25">
      <c r="A3" t="s">
        <v>67</v>
      </c>
    </row>
    <row r="4" spans="1:5" x14ac:dyDescent="0.25">
      <c r="A4" t="s">
        <v>53</v>
      </c>
      <c r="B4" t="s">
        <v>54</v>
      </c>
      <c r="C4" t="s">
        <v>55</v>
      </c>
      <c r="D4" t="s">
        <v>56</v>
      </c>
      <c r="E4" t="s">
        <v>66</v>
      </c>
    </row>
    <row r="5" spans="1:5" x14ac:dyDescent="0.25">
      <c r="A5" t="s">
        <v>57</v>
      </c>
      <c r="B5" s="16">
        <v>5000</v>
      </c>
      <c r="C5">
        <v>5000</v>
      </c>
      <c r="D5">
        <v>1.3</v>
      </c>
      <c r="E5" s="13">
        <f>B5*D5</f>
        <v>6500</v>
      </c>
    </row>
    <row r="6" spans="1:5" x14ac:dyDescent="0.25">
      <c r="A6" t="s">
        <v>58</v>
      </c>
      <c r="B6" s="16">
        <v>1000</v>
      </c>
      <c r="C6">
        <v>1000</v>
      </c>
      <c r="D6">
        <v>0.4</v>
      </c>
      <c r="E6" s="13">
        <f t="shared" ref="E6:E11" si="0">B6*D6</f>
        <v>400</v>
      </c>
    </row>
    <row r="7" spans="1:5" x14ac:dyDescent="0.25">
      <c r="A7" t="s">
        <v>59</v>
      </c>
      <c r="B7" s="16">
        <v>1400</v>
      </c>
      <c r="C7">
        <v>1400</v>
      </c>
      <c r="D7">
        <v>1.1000000000000001</v>
      </c>
      <c r="E7" s="13">
        <f t="shared" si="0"/>
        <v>1540.0000000000002</v>
      </c>
    </row>
    <row r="8" spans="1:5" x14ac:dyDescent="0.25">
      <c r="A8" t="s">
        <v>60</v>
      </c>
      <c r="B8" s="16">
        <v>2000</v>
      </c>
      <c r="C8">
        <v>2000</v>
      </c>
      <c r="D8">
        <v>0.9</v>
      </c>
      <c r="E8" s="13">
        <f t="shared" si="0"/>
        <v>1800</v>
      </c>
    </row>
    <row r="9" spans="1:5" x14ac:dyDescent="0.25">
      <c r="A9" t="s">
        <v>61</v>
      </c>
      <c r="B9" s="16">
        <v>1000</v>
      </c>
      <c r="C9">
        <v>4000</v>
      </c>
      <c r="D9">
        <v>0.75</v>
      </c>
      <c r="E9" s="13">
        <f t="shared" si="0"/>
        <v>750</v>
      </c>
    </row>
    <row r="10" spans="1:5" x14ac:dyDescent="0.25">
      <c r="A10" t="s">
        <v>62</v>
      </c>
      <c r="B10" s="16">
        <v>2500</v>
      </c>
      <c r="C10">
        <v>2500</v>
      </c>
      <c r="D10">
        <v>1.1499999999999999</v>
      </c>
      <c r="E10" s="13">
        <f t="shared" si="0"/>
        <v>2875</v>
      </c>
    </row>
    <row r="11" spans="1:5" x14ac:dyDescent="0.25">
      <c r="A11" t="s">
        <v>63</v>
      </c>
      <c r="B11" s="16">
        <v>2100</v>
      </c>
      <c r="C11">
        <v>5500</v>
      </c>
      <c r="D11">
        <v>0.85</v>
      </c>
      <c r="E11" s="13">
        <f t="shared" si="0"/>
        <v>1785</v>
      </c>
    </row>
    <row r="12" spans="1:5" x14ac:dyDescent="0.25">
      <c r="A12" t="s">
        <v>64</v>
      </c>
      <c r="B12" s="17">
        <f>SUM(B5:B11)</f>
        <v>15000</v>
      </c>
      <c r="E12" s="13"/>
    </row>
    <row r="13" spans="1:5" x14ac:dyDescent="0.25">
      <c r="E13" s="13"/>
    </row>
    <row r="14" spans="1:5" x14ac:dyDescent="0.25">
      <c r="E14" s="13"/>
    </row>
    <row r="15" spans="1:5" x14ac:dyDescent="0.25">
      <c r="A15" t="s">
        <v>65</v>
      </c>
      <c r="B15">
        <v>15000</v>
      </c>
      <c r="D15" t="s">
        <v>42</v>
      </c>
      <c r="E15" s="13">
        <f>SUM(E5:E14)</f>
        <v>15650</v>
      </c>
    </row>
    <row r="18" spans="1:3" x14ac:dyDescent="0.25">
      <c r="A18" s="18" t="s">
        <v>32</v>
      </c>
      <c r="B18" s="18"/>
      <c r="C18" s="18"/>
    </row>
    <row r="19" spans="1:3" x14ac:dyDescent="0.25">
      <c r="A19" s="8" t="s">
        <v>68</v>
      </c>
      <c r="B19" s="8"/>
      <c r="C19" s="8"/>
    </row>
    <row r="20" spans="1:3" x14ac:dyDescent="0.25">
      <c r="A20" s="8" t="s">
        <v>72</v>
      </c>
      <c r="B20" s="8"/>
      <c r="C20" s="8"/>
    </row>
    <row r="21" spans="1:3" x14ac:dyDescent="0.25">
      <c r="A21" s="8" t="s">
        <v>69</v>
      </c>
      <c r="B21" s="8"/>
      <c r="C21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6" ma:contentTypeDescription="Crée un document." ma:contentTypeScope="" ma:versionID="061a3bdc43ae470eb5c9dc5d8dc29615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edb97596358d8556cd5f986c8e1f1805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ujet" minOccurs="0"/>
                <xsd:element ref="ns2:Niveau" minOccurs="0"/>
                <xsd:element ref="ns2:Langu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ujet" ma:index="11" nillable="true" ma:displayName="Sujet" ma:format="Dropdown" ma:internalName="Sujet">
      <xsd:simpleType>
        <xsd:restriction base="dms:Text">
          <xsd:maxLength value="255"/>
        </xsd:restriction>
      </xsd:simpleType>
    </xsd:element>
    <xsd:element name="Niveau" ma:index="12" nillable="true" ma:displayName="Niveau" ma:format="Dropdown" ma:internalName="Niveau">
      <xsd:simpleType>
        <xsd:restriction base="dms:Choice">
          <xsd:enumeration value="Bases"/>
          <xsd:enumeration value="Intermédiaire"/>
          <xsd:enumeration value="Avancé"/>
        </xsd:restriction>
      </xsd:simpleType>
    </xsd:element>
    <xsd:element name="Langue" ma:index="13" nillable="true" ma:displayName="Langue" ma:default="FRANCAIS" ma:format="Dropdown" ma:internalName="Langue">
      <xsd:simpleType>
        <xsd:restriction base="dms:Choice">
          <xsd:enumeration value="FRANCAIS"/>
          <xsd:enumeration value="ENGLISH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jet xmlns="037ed5ce-9e80-41f7-81a5-4f297c26d5d9" xsi:nil="true"/>
    <Langue xmlns="037ed5ce-9e80-41f7-81a5-4f297c26d5d9">FRANCAIS</Langue>
    <Niveau xmlns="037ed5ce-9e80-41f7-81a5-4f297c26d5d9" xsi:nil="true"/>
  </documentManagement>
</p:properties>
</file>

<file path=customXml/itemProps1.xml><?xml version="1.0" encoding="utf-8"?>
<ds:datastoreItem xmlns:ds="http://schemas.openxmlformats.org/officeDocument/2006/customXml" ds:itemID="{40AAC65F-0853-42B7-BDDC-264B346B6A5E}"/>
</file>

<file path=customXml/itemProps2.xml><?xml version="1.0" encoding="utf-8"?>
<ds:datastoreItem xmlns:ds="http://schemas.openxmlformats.org/officeDocument/2006/customXml" ds:itemID="{8F526B43-DCF2-49B7-B2DA-97DE862B1F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17CC5D-E0FA-49B0-B584-00D7B6FC86C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Goal seek</vt:lpstr>
      <vt:lpstr>basic solver</vt:lpstr>
      <vt:lpstr>advanced solver 1</vt:lpstr>
      <vt:lpstr>advanced solver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Ludovic Moreau</dc:creator>
  <cp:lastModifiedBy>Ludovic Moreau, manager</cp:lastModifiedBy>
  <dcterms:created xsi:type="dcterms:W3CDTF">2023-08-31T22:35:25Z</dcterms:created>
  <dcterms:modified xsi:type="dcterms:W3CDTF">2026-09-21T14:03:22Z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70500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SharedWithUsers">
    <vt:lpwstr/>
  </property>
</Properties>
</file>