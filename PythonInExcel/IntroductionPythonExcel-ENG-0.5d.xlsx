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spire\Downloads\"/>
    </mc:Choice>
  </mc:AlternateContent>
  <xr:revisionPtr revIDLastSave="0" documentId="13_ncr:1_{6809FC78-36FD-423D-B836-CD714657DF89}" xr6:coauthVersionLast="47" xr6:coauthVersionMax="47" xr10:uidLastSave="{00000000-0000-0000-0000-000000000000}"/>
  <bookViews>
    <workbookView xWindow="-120" yWindow="-120" windowWidth="29040" windowHeight="16440" tabRatio="774" activeTab="2" xr2:uid="{97AF40D0-97F9-421F-A63E-4FFAD2166CF0}"/>
  </bookViews>
  <sheets>
    <sheet name="Variables" sheetId="2" r:id="rId1"/>
    <sheet name="HOME" sheetId="7" r:id="rId2"/>
    <sheet name="XL()" sheetId="1" r:id="rId3"/>
    <sheet name="Dates in Python" sheetId="12" r:id="rId4"/>
    <sheet name="DATAFRAME" sheetId="3" r:id="rId5"/>
    <sheet name="Cleaning and fusion" sheetId="13" r:id="rId6"/>
    <sheet name="Unpivot in Python" sheetId="11" r:id="rId7"/>
    <sheet name="Matplotlib" sheetId="4" r:id="rId8"/>
    <sheet name="Seaborn-Violin" sheetId="5" r:id="rId9"/>
    <sheet name="Seaborn-Pairplot" sheetId="8" r:id="rId10"/>
    <sheet name="Seaborn-Catplot" sheetId="9" r:id="rId11"/>
    <sheet name="Seaborn-Heatmap(Correlation)" sheetId="10" r:id="rId12"/>
    <sheet name="RECAP" sheetId="14" r:id="rId13"/>
  </sheets>
  <definedNames>
    <definedName name="one_hundred">Variables!$F$4</definedName>
    <definedName name="VATrate">Variables!$B$2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a="1"/>
  <c r="H6" i="3"/>
  <c r="A7" i="3"/>
  <c r="H7" i="3"/>
  <c r="J6" i="3"/>
  <c r="J7" i="3"/>
  <c r="E23" i="3"/>
  <c r="C23" i="3"/>
  <c r="A23" i="3"/>
  <c r="A26" i="3"/>
  <c r="E6" i="1" l="1" a="1"/>
  <c r="C9" i="1" s="1" a="1"/>
  <c r="C12" i="1" l="1" a="1"/>
  <c r="E12" i="1" s="1" a="1"/>
  <c r="A16" i="1" s="1" a="1"/>
  <c r="A19" i="1" s="1" a="1"/>
  <c r="D19" i="1" s="1" a="1"/>
  <c r="A22" i="1" s="1" a="1"/>
  <c r="B22" i="1" s="1" a="1"/>
  <c r="C22" i="1" s="1" a="1"/>
  <c r="D22" i="1" s="1" a="1"/>
  <c r="A29" i="1" l="1" a="1"/>
  <c r="C29" i="1" s="1" a="1"/>
  <c r="F4" i="12" s="1" a="1"/>
  <c r="I4" i="12" s="1" a="1"/>
  <c r="C5" i="12" s="1" a="1"/>
  <c r="C6" i="12" s="1" a="1"/>
  <c r="C7" i="12" s="1" a="1"/>
  <c r="C8" i="12" s="1" a="1"/>
  <c r="C9" i="12" s="1" a="1"/>
  <c r="C10" i="12" s="1" a="1"/>
  <c r="C11" i="12" s="1" a="1"/>
  <c r="C12" i="12" s="1" a="1"/>
  <c r="C13" i="12" s="1" a="1"/>
  <c r="C14" i="12" s="1" a="1"/>
  <c r="C15" i="12" s="1" a="1"/>
  <c r="C16" i="12" s="1" a="1"/>
  <c r="G2" i="3" s="1" a="1"/>
  <c r="A8" i="3" s="1" a="1"/>
  <c r="H8" i="3" s="1" a="1"/>
  <c r="J8" i="3" s="1" a="1"/>
  <c r="A19" i="3" s="1" a="1"/>
  <c r="A24" i="3" s="1" a="1"/>
  <c r="C24" i="3" s="1" a="1"/>
  <c r="E24" i="3" s="1" a="1"/>
  <c r="A27" i="3" l="1" a="1"/>
  <c r="E27" i="3" s="1" a="1"/>
  <c r="I27" i="3" s="1" a="1"/>
  <c r="A46" i="3" s="1" a="1"/>
  <c r="F46" i="3" s="1" a="1"/>
  <c r="F70" i="3" s="1" a="1"/>
  <c r="P4" i="13" s="1" a="1"/>
  <c r="E5" i="13" s="1" a="1"/>
  <c r="I5" i="13" s="1" a="1"/>
  <c r="E22" i="13" s="1" a="1"/>
  <c r="E34" i="13" s="1" a="1"/>
  <c r="J4" i="11" s="1" a="1"/>
  <c r="A1" i="4" s="1" a="1"/>
  <c r="F4" i="4" s="1" a="1"/>
  <c r="M12" i="4" l="1" a="1"/>
  <c r="B5" i="5" a="1"/>
  <c r="H5" i="5" l="1" a="1"/>
  <c r="C31" i="5" a="1"/>
  <c r="B39" i="5" s="1" a="1"/>
  <c r="A6" i="8" a="1"/>
  <c r="A3" i="9" a="1"/>
  <c r="H3" i="9" l="1" a="1"/>
  <c r="O3" i="9" l="1" a="1"/>
  <c r="A6" i="10" a="1"/>
  <c r="G2" i="14" l="1" a="1"/>
  <c r="G5" i="14" s="1" a="1"/>
  <c r="G9" i="14" s="1" a="1"/>
  <c r="L9" i="14" l="1" a="1"/>
  <c r="M9" i="14" s="1" a="1"/>
  <c r="H9" i="14" a="1"/>
  <c r="G19" i="14" a="1"/>
  <c r="H19" i="14" l="1" a="1"/>
  <c r="L19" i="14" a="1"/>
  <c r="A27" i="14" a="1"/>
  <c r="A30" i="14" l="1" a="1"/>
  <c r="B27" i="14" a="1"/>
  <c r="A38" i="14" l="1" a="1"/>
  <c r="A41" i="14" s="1" a="1"/>
  <c r="A45" i="14" s="1" a="1"/>
  <c r="A50" i="14" s="1" a="1"/>
  <c r="A66" i="14" s="1" a="1"/>
  <c r="A31" i="14" a="1"/>
  <c r="A83" i="14" l="1" a="1"/>
  <c r="B83" i="14" s="1" a="1"/>
  <c r="B50" i="14"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7"/>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8"/>
        </ext>
      </extLst>
    </bk>
    <bk>
      <extLst>
        <ext uri="{3e2802c4-a4d2-4d8b-9148-e3be6c30e623}">
          <xlrd:rvb i="71"/>
        </ext>
      </extLst>
    </bk>
    <bk>
      <extLst>
        <ext uri="{3e2802c4-a4d2-4d8b-9148-e3be6c30e623}">
          <xlrd:rvb i="51"/>
        </ext>
      </extLst>
    </bk>
    <bk>
      <extLst>
        <ext uri="{3e2802c4-a4d2-4d8b-9148-e3be6c30e623}">
          <xlrd:rvb i="74"/>
        </ext>
      </extLst>
    </bk>
    <bk>
      <extLst>
        <ext uri="{3e2802c4-a4d2-4d8b-9148-e3be6c30e623}">
          <xlrd:rvb i="77"/>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2"/>
        </ext>
      </extLst>
    </bk>
    <bk>
      <extLst>
        <ext uri="{3e2802c4-a4d2-4d8b-9148-e3be6c30e623}">
          <xlrd:rvb i="87"/>
        </ext>
      </extLst>
    </bk>
  </futureMetadata>
  <cellMetadata count="1">
    <bk>
      <rc t="1" v="0"/>
    </bk>
  </cellMetadata>
  <valueMetadata count="6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import openpyxl as pyxl
from datetime import date, datetime, timedelta
warnings.simplefilter('ignore')
excel.set_xl_scalar_conversion(excel.convert_to_scalar)
excel.set_xl_array_conversion(excel.convert_to_dataframe)
</code>
    </initialization>
  </environmentDefinition>
  <pythonScripts>
    <pythonScript>
      <code xml:space="preserve">a , b = 10,20
c = xl(%P2%)
mysum=a+b+c
myavg = mysum / 3
myavg
</code>
    </pythonScript>
    <pythonScript>
      <code>liste = [10,20,xl(%P2%)]
pd.Series(liste).mean()</code>
    </pythonScript>
    <pythonScript>
      <code># comments start with the # symbol
# one_hundred is a defined name in this workbook
xl(%P2%)+xl(%P3%)+xl(%P4%)</code>
    </pythonScript>
    <pythonScript>
      <code xml:space="preserve">a = xl(%P2%)
def square(x):
    return x*x
txt1 = " square of "
f"{txt1}{a} = {square(a)}"
</code>
    </pythonScript>
    <pythonScript>
      <code>X, x, y = 1,10,5
price = 12.345678
name = "python"
f"{x} + {y} = {x + y}\nThis is {name.upper()}\nPrice: {price:.2f} "</code>
    </pythonScript>
    <pythonScript>
      <code>liste_texte = [xl(%P2%),xl(%P3%),xl(%P4%),xl(%P5%)]
tvaformatted = format(liste_texte[1],".2%%")
viprounded = format(round(liste_texte[3],2),".0%%")
f"{liste_texte[0]} : {tvaformatted} *** {liste_texte[2]} : {liste_texte[3]: .2%%} // Rounded discount: {viprounded}"</code>
    </pythonScript>
    <pythonScript>
      <code>x = xl(%P2%)
def testmyval(myval):
    if myval &gt; 0: return "Positive"
    elif myval &lt; 0: return "Negative"
    else: return "Zero"
testmyval(x)</code>
    </pythonScript>
    <pythonScript>
      <code>x = xl(%P2%)
"Positive" if x &gt; 0 else "Negative" if x &lt; 0 else "Zero"</code>
    </pythonScript>
    <pythonScript>
      <code>fruits = ["apple", "banana", "orange"]
results=[]
for fruit in fruits:
    results.append(fruit)
print(results)</code>
    </pythonScript>
    <pythonScript>
      <code>for letter in "Python":
	print(letter)</code>
    </pythonScript>
    <pythonScript>
      <code>for i in range(5):
	print(i)</code>
    </pythonScript>
    <pythonScript>
      <code>count = 12
while count &gt; 6:
	print(count)
	count -= 1</code>
    </pythonScript>
    <pythonScript>
      <code>vals = xl(%P2%)
results=[]
final_string =""
for v in vals:
    if v &gt; 5:
        results.append(v* 10)
    else:
        results.append(v)
final_string =", ".join(str(x) for x in results if x%%2 == 0)
f"output: {final_string}"</code>
    </pythonScript>
    <pythonScript>
      <code>vals = xl(%P2%)
def condmultiply(somelist):
    return [v * 10 for v in somelist if v &gt; 5]
def condtest(somelist):
    return [
        #valeur calculée
        v*10 if v &gt; 5 else v
        #itération sur la liste passée en paramètre
        for v in somelist
        # Filtre des valeurs à traiter (ici modulo 2)
        if v%%2 == 0
        ]
#result = condmultiply(vals)
result = condtest(vals)</code>
    </pythonScript>
    <pythonScript>
      <code>today = date.today()
birthday = date(2026, 8, 10)
days_remaining = (birthday - today).days
f"Days remaining: {days_remaining}"</code>
    </pythonScript>
    <pythonScript>
      <code>today = date.today()
end_of_year = date(today.year, 12, 31)
working_days = 0
current = today
while current &lt;= end_of_year:
    if current.weekday() &lt; 5:
        working_days += 1
    current += timedelta(days=1)
f"There are {working_days} working days remaining this year."</code>
    </pythonScript>
    <pythonScript>
      <code xml:space="preserve">pd.to_datetime(xl(%P2%))
</code>
    </pythonScript>
    <pythonScript>
      <code>df_service=xl(%P2%, headers=True)
f"Creating the df_service dataframe"</code>
    </pythonScript>
    <pythonScript>
      <code xml:space="preserve">df_service.describe()
</code>
    </pythonScript>
    <pythonScript>
      <code>df_service.shape</code>
    </pythonScript>
    <pythonScript>
      <code>df_service.columns</code>
    </pythonScript>
    <pythonScript>
      <code xml:space="preserve">df_service[(df_service['date_opened']&gt;='2019-01-15') &amp; (df_service['date_opened']&lt;'2019-01-17')]
</code>
    </pythonScript>
    <pythonScript>
      <code xml:space="preserve">#Calculate the average value of the column ['m_cached_price']
df_service["m_cached_price"].mean()
</code>
    </pythonScript>
    <pythonScript>
      <code xml:space="preserve">df_service["m_cached_price"].sum()
</code>
    </pythonScript>
    <pythonScript>
      <code xml:space="preserve">df_service["m_cached_price"].count()
</code>
    </pythonScript>
    <pythonScript>
      <code>df_service.groupby('m_nb_customer')["m_cached_payed"].mean()
# Create a pivot table with 'm_nb_customer' in the rows and 'm_cached_payed' in the values with the average aggregation applied</code>
    </pythonScript>
    <pythonScript>
      <code># Add 3 columns to df_service to create the date, year and month columns from the date/time column 'date_opened'
df_service["Date"] = pd.to_datetime(df_service["date_opened"])
df_service["Year"]=df_service["Date"].dt.year
df_service["Month"]=df_service["Date"].dt.month
# pivoting by Year and Month, summing the 'm_cached_price' column
MonthlyTurnover = df_service.groupby(["Year","Month"])["m_cached_price"].sum()
# Display the pivot table
MonthlyTurnover</code>
    </pythonScript>
    <pythonScript>
      <code>df_service.columns
# df_service should display 3 new columns coming from the code in E27</code>
    </pythonScript>
    <pythonScript>
      <code># Step 1 : Display 3 columns from the original table
#df_service[["date_opened","id_store","m_cached_payed"]]
# Step 2 : Sort descending on 'm_cached_payed'
#df_service[["date_opened","id_store","m_cached_payed"]].sort_values(by="m_cached_payed", ascending=False)
# Step 3 : Keep top 10 values (head(10)) of the sorted table and do not display the index (reset_index)
df_service[["date_opened","id_store","m_cached_payed"]].sort_values(by="m_cached_payed", ascending=False).head(10).reset_index(drop=True)</code>
    </pythonScript>
    <pythonScript>
      <code>df_service["id_store"].unique()</code>
    </pythonScript>
    <pythonScript>
      <code>pivot= (
df_service
# create the pivot table with these 2 dataframe cols in the rows section
    .groupby(["Year","Month"])
    #.groupby(["Année","Mois","id_store"])
    # Add 4 aggregations columns
    .agg(
        {"m_cached_payed": "sum",
        "m_cached_price":"sum",
        "m_nb_customer":"mean",
        "id_order":"count"})
).round(0)   #Rounds the calculated values to the unit
# Rename the columns of the pivot table
pivot = pivot.rename(columns={
    "m_cached_payed": "Total Paid",
    "m_cached_price": "Total Price",
    "m_nb_customer": "AVG Clients",
    "id_order": "Nb Sales"
})
# Display the pivot table with these columns and sort ascending on 'Year' and 'Month'
pivot.sort_values(by=["Year","Month"])</code>
    </pythonScript>
    <pythonScript>
      <code># Create the df_choosecols dataframe from the tbl_service table
df_choosecols = xl(%P2%, headers=True)
# Choose columns from a list (in [...]) if they are present in the dataframe (.columns)
mycols = [c for c in ['m_nb_customer','m_cached_payed','id_store','id_order'] if c in df_choosecols.columns]
# Sort over 2 columns and choose the sort index
df_choosecols = df_choosecols[mycols].sort_values(['m_nb_customer','m_cached_payed'], ascending=[True,False]).reset_index(drop=True)
# Display the final dataframe
df_choosecols</code>
    </pythonScript>
    <pythonScript>
      <code># Creation of dfsmall
dfsmall = xl(%P2%, headers=True)
# Create a column [AVG] calculating the sales average on every row
dfsmall['AVG']=dfsmall['Amount']/dfsmall['NB_cust']
f'Creating the dfsmall dataframe'</code>
    </pythonScript>
    <pythonScript>
      <code># Clean empty rows from dfsmall and create dfclean
dfclean = dfsmall.dropna(how='all').reset_index(drop=True)
dfclean</code>
    </pythonScript>
    <pythonScript>
      <code>#Define 2 dataframes
left=xl(%P2%, headers=True)
right=xl(%P3%, headers=True)
#Merge those 2 dataframes over [Order ID]
#suffixes will add a suffix to identical columns (if any)
fusion=left.merge(right,how='left',on='Order ID', suffixes=('_1','_2'))
fusion</code>
    </pythonScript>
    <pythonScript>
      <code># Create df_anomaly from A4:D12
df_anomaly = xl(%P2%, headers=True)
# calculate the average per client
df_anomaly['avg/cust']=df_anomaly['Amount']/df_anomaly['NB_cust']
# calculate the global AVG and the standard deviation
avg = df_anomaly['avg/cust'].mean()
stddev = df_anomaly['avg/cust'].std()
# calculate the ratio (row by row) of the row average minus the global average divided by the standard deviation in a new column [Zscore]
df_anomaly['zscore']=(df_anomaly['avg/cust']-avg)/stddev
# Display TRUE for any score above 2 in a new column [Anomaly]
# Use the np.abs() function to calculate the absolute value
df_anomaly['anomaly']=np.abs(df_anomaly['zscore']) &gt; 2
# Display df_anomaly
df_anomaly</code>
    </pythonScript>
    <pythonScript>
      <code>pd.melt(xl(%P2%, headers=True),id_vars=['Training','Level'],var_name='Q',value_name='NB')</code>
    </pythonScript>
    <pythonScript>
      <code>#création du dataframe
df_resto = xl(%P2%)
#création des noms de colonnes
df_resto.columns = ["position","id_store","Amount","NB orders"]
f"CREATION DU DATAFRAME"</code>
    </pythonScript>
    <pythonScript>
      <code xml:space="preserve"># Find index of maximum amount
Amount_max = df_resto["Amount"].idxmax()
# Find the matching store ID
StoreIDMax = df_resto.loc[Amount_max, "id_store"]
# ListOfColors : red for StoreIDMax, steelblue for the others
ListOfColors = [
    "red" if __id == StoreIDMax else "steelblue"  for __id in df_resto["id_store"]
]
# generate the bar plot Amount per Store ID
df_resto.plot(
    x='id_store',
    y='Amount',
    kind='bar', 
    title='Amount per Store',
    color=ListOfColors,
    label="Amount [MCHF]",
    xlabel="Store reference number"
    )
# generate the line chart for the NB orders
linechart = df_resto.plot(
    x='position',
    y='NB orders',
    kind='line',
    title='Number of orders',
    marker="o",
    color='darkgreen',
    xlabel="Store ID"
    )
# Change the horizontal axis labels 
# by default we set it to [position]
linechart.set_xticklabels(df_resto["id_store"])
</code>
    </pythonScript>
    <pythonScript>
      <code>fig, ax1 = plt.subplots(figsize=(10, 5))
# Amount (bars)
df_resto.plot(
    x="id_store",
    y="Amount",
    kind="bar",
    color=ListOfColors,
    ax=ax1
)
# NB orders (line on secondary axis)
ax2 = ax1.twinx()
ax2.plot(
    df_resto.index,
    df_resto["NB orders"],
    color="darkgreen",
    marker="o",
    linewidth=2,
    label="NB orders"
)
ax1.set_title("Amount and NB Orders per Store")
ax1.set_ylabel("Amount")
ax1.grid(False)
ax1.set_xticklabels(df_resto["id_store"], rotation=45)
ax2.set_ylabel("NB Orders")
ax2.grid(False)
#plt.tight_layout()
plt.show()</code>
    </pythonScript>
    <pythonScript>
      <code># modern style
sns.set(style="whitegrid")
# Creating the figure
plt.figure(figsize=(5, 4))
# Violin plot
sns.violinplot(
    y="Amount",
    data=df_resto,
    inner="box",      # displays a mini boxplot inside
    color="#FF9800"   # soft orange 
    )
plt.title("Amount Distribution (Seaborn)", fontsize=12)
plt.ylabel("Amount")
# Horizontal line for the average
AVG_value = df_resto["Amount"].mean()
plt.axhline(AVG_value, color="red", linestyle="--", label="AVG Amount")
plt.show()</code>
    </pythonScript>
    <pythonScript>
      <code>fig, ax1 = plt.subplots(figsize=(5, 4))
ax1.violinplot(
    [df_resto["Amount"]],
    showmeans=True,
    showmedians=True,
    showextrema=True
)
ax1.set_xticks([1])
ax1.set_xticklabels(["NB Orders"])
ax1.set_title("Amount Distribution (Matplotlib)")
# Display units in full on Y axis
fig.subplots_adjust(left=0.5)
plt.show()</code>
    </pythonScript>
    <pythonScript>
      <code>moyenne = round(df_resto["Amount"].mean(),0)
mediane = round(df_resto["Amount"].median(),0)
liste_stat=[moyenne,mediane]
liste_stat</code>
    </pythonScript>
    <pythonScript>
      <code>plt.figure(figsize=(5, 3))
sns.violinplot(
    x="Amount",
    data=df_resto,
    inner="box",
    color="#03A9F4"   # blue
)
plt.title("Amount Distribution")
plt.xlabel("Amount")
plt.show()</code>
    </pythonScript>
    <pythonScript>
      <code># Style visuel Seaborn
sns.set(style="whitegrid")
# Création du pairplot
sns.pairplot(
    df_service[["id_store","m_nb_customer","m_cached_payed"]], 
    # KDE plus esthétique que histogrammes
    diag_kind="kde",  
    plot_kws={"alpha": 0.7, "s": 60},
    diag_kws={"shade": True}
    )
plt.show()</code>
    </pythonScript>
    <pythonScript>
      <code>sns.catplot(
    df_service,
    kind="swarm",
    x="id_store",
    y="m_cached_payed"
    )</code>
    </pythonScript>
    <pythonScript>
      <code>#créez un jointplot entre le nombre de clients
#et le montant des additions
sns.jointplot(
    df_service,
    x="m_nb_customer",
    y="m_cached_payed",
    #Activez la régression linéaire
    #kind="reg",
    #Activez l'analyse KDE (Kernel Density Estimate)
    kind="kde",
    fill=True
    )
plt.xlim(0,10)
plt.show()</code>
    </pythonScript>
    <pythonScript>
      <code>#créez un jointplot entre le nombre de clients et le montant des additions
sns.jointplot(
    df_service,
    x="m_nb_customer",
    y="m_cached_payed",
    #Activez l'affichage en hexagone
    kind="hex"
    )
plt.xlim(0,10)
plt.ylim(0,500)
plt.show()</code>
    </pythonScript>
    <pythonScript>
      <code>sns.heatmap(df_service[["id_store","Month","Year","m_nb_customer","m_cached_payed"]].corr(),annot=True)</code>
    </pythonScript>
    <pythonScript>
      <code>df_recap=xl(%P2%, headers=True)
df_recap.head()</code>
    </pythonScript>
    <pythonScript>
      <code xml:space="preserve">df_recap["Revenue"]=df_recap["Quantity"]*df_recap["UnitPrice"]
df_recap
</code>
    </pythonScript>
    <pythonScript>
      <code>region_summary = (
    df_recap.groupby("Region")["Revenue"]
      .sum()
      .sort_values(ascending=False)
)
region_summary</code>
    </pythonScript>
    <pythonScript>
      <code>product_summary = (
    df_recap.groupby("Product")["Revenue"]
      .sum()
      .sort_values(ascending=False)
)
product_summary</code>
    </pythonScript>
    <pythonScript>
      <code>kpis = pd.DataFrame({
    "Metric":[
        "Total Sales",
        "Average Transaction",
        "Highest Transaction",
        "Lowest Transaction"
    ],
    "Value":[
        df_recap["Revenue"].sum(),
        df_recap["Revenue"].mean(),
        df_recap["Revenue"].max(),
        df_recap["Revenue"].min()
    ]
})
kpis</code>
    </pythonScript>
    <pythonScript>
      <code>import matplotlib.pyplot as plt
region_summary.plot(kind="bar")
plt.title("Revenue by Region")
plt.xlabel("Region")
plt.ylabel("Revenue")
plt.show()</code>
    </pythonScript>
    <pythonScript>
      <code>threshold = df_recap["Revenue"].quantile(0.95)
outliers = df_recap[df_recap["Revenue"] &gt; threshold]
outliers</code>
    </pythonScript>
    <pythonScript>
      <code>best_region = region_summary.idxmax()
best_product = product_summary.idxmax()
summary = pd.DataFrame({
    "Insight":[
        "Best Region",
        "Best Product",
        "Total Revenue"
    ],
    "Result":[
        best_region,
        best_product,
        df_recap["Revenue"].sum()
    ]
})
summary</code>
    </pythonScript>
    <pythonScript>
      <code>share = (
    df_recap.groupby("Region")["Revenue"].sum()
    / df_recap["Revenue"].sum()
)
share[share &gt; 0.25]</code>
    </pythonScript>
    <pythonScript>
      <code>df_recap["Revenue_Plus5"] = (
    df_recap["Quantity"]
    * df_recap["UnitPrice"]
    * 1.05
)
df_recap["Revenue_Plus5"].sum()</code>
    </pythonScript>
    <pythonScript>
      <code>ranking = (
    df_recap.groupby("Product")["Revenue"]
      .sum()
      .rank(ascending=False)
)
ranking</code>
    </pythonScript>
    <pythonScript>
      <code>categories = []
for revenue in df_recap["Revenue"]:
    if revenue &gt;= 5000:
        categories.append("Excellent")
    elif revenue &gt;= 1000:
        categories.append("Good")
    else:
        categories.append("Standard")
df_recap["Category"] = categories
df_recap</code>
    </pythonScript>
    <pythonScript>
      <code>alerts = []
for Region, Revenue in region_summary.items():
    if Revenue &lt; 5000:
        alerts.append(
            f"Warning: {Region} is below target (€{Revenue:,.0f})"
        )
pd.DataFrame({
    "Alerts": alerts
})</code>
    </pythonScript>
    <pythonScript>
      <code>bonus_list = []
for revenue in df_recap["Revenue"]:
    if revenue &gt;= 5000:
        bonus = revenue * 0.10
    elif revenue &gt;= 2000:
        bonus = revenue * 0.05
    else:
        bonus = revenue * 0.02
    bonus_list.append(bonus)
df_recap["Bonus"] = bonus_list
pd.DataFrame({
"Metric": ["Total Bonus Paid"],
"Value": df_recap["Bonus"].sum()
})</code>
    </pythonScript>
  </pythonScripts>
</python>
</file>

<file path=xl/sharedStrings.xml><?xml version="1.0" encoding="utf-8"?>
<sst xmlns="http://schemas.openxmlformats.org/spreadsheetml/2006/main" count="677" uniqueCount="623">
  <si>
    <t>Python dans Excel</t>
  </si>
  <si>
    <t>id_order</t>
  </si>
  <si>
    <t>id_store</t>
  </si>
  <si>
    <t>date_opened</t>
  </si>
  <si>
    <t>date_closed</t>
  </si>
  <si>
    <t>m_nb_customer</t>
  </si>
  <si>
    <t>m_cached_payed</t>
  </si>
  <si>
    <t>m_cached_price</t>
  </si>
  <si>
    <t>2019-01-12 13:02:17 UTC</t>
  </si>
  <si>
    <t>2019-01-12 19:58:38 UTC</t>
  </si>
  <si>
    <t>2019-01-16 19:39:09 UTC</t>
  </si>
  <si>
    <t>2019-01-16 22:10:50 UTC</t>
  </si>
  <si>
    <t>2019-01-12 14:18:46 UTC</t>
  </si>
  <si>
    <t>2019-01-12 19:50:32 UTC</t>
  </si>
  <si>
    <t>2019-01-24 17:49:12 UTC</t>
  </si>
  <si>
    <t>2019-01-24 21:58:59 UTC</t>
  </si>
  <si>
    <t>2019-01-12 15:25:06 UTC</t>
  </si>
  <si>
    <t>2019-01-12 19:21:03 UTC</t>
  </si>
  <si>
    <t>2019-01-11 19:13:15 UTC</t>
  </si>
  <si>
    <t>2019-01-11 23:22:04 UTC</t>
  </si>
  <si>
    <t>2019-01-16 19:04:08 UTC</t>
  </si>
  <si>
    <t>2019-01-16 22:13:55 UTC</t>
  </si>
  <si>
    <t>2019-01-18 19:06:17 UTC</t>
  </si>
  <si>
    <t>2019-01-18 23:13:08 UTC</t>
  </si>
  <si>
    <t>2019-01-01 16:33:33 UTC</t>
  </si>
  <si>
    <t>2019-01-01 23:47:28 UTC</t>
  </si>
  <si>
    <t>2019-01-19 21:44:00 UTC</t>
  </si>
  <si>
    <t>2019-01-19 23:15:16 UTC</t>
  </si>
  <si>
    <t>2019-01-05 18:56:40 UTC</t>
  </si>
  <si>
    <t>2019-01-05 22:50:19 UTC</t>
  </si>
  <si>
    <t>2019-01-12 17:39:03 UTC</t>
  </si>
  <si>
    <t>2019-01-12 19:29:28 UTC</t>
  </si>
  <si>
    <t>2019-01-18 21:26:39 UTC</t>
  </si>
  <si>
    <t>2019-01-18 23:15:43 UTC</t>
  </si>
  <si>
    <t>2019-01-08 17:57:47 UTC</t>
  </si>
  <si>
    <t>2019-01-08 21:54:56 UTC</t>
  </si>
  <si>
    <t>2019-01-01 19:18:29 UTC</t>
  </si>
  <si>
    <t>2019-01-01 23:34:25 UTC</t>
  </si>
  <si>
    <t>2019-01-12 17:43:59 UTC</t>
  </si>
  <si>
    <t>2019-01-12 22:20:15 UTC</t>
  </si>
  <si>
    <t>pd.DataFrame()</t>
  </si>
  <si>
    <t>df.info()</t>
  </si>
  <si>
    <t>df.describe()</t>
  </si>
  <si>
    <t>df.head(n)</t>
  </si>
  <si>
    <t>df.tail(n)</t>
  </si>
  <si>
    <t>Dimensions</t>
  </si>
  <si>
    <t>df.columns</t>
  </si>
  <si>
    <t>Index</t>
  </si>
  <si>
    <t>df['col']</t>
  </si>
  <si>
    <t>df[['c1','c2']]</t>
  </si>
  <si>
    <t>df.loc[]</t>
  </si>
  <si>
    <t>df.iloc[]</t>
  </si>
  <si>
    <t>df.query()</t>
  </si>
  <si>
    <t>df.filter()</t>
  </si>
  <si>
    <t>df.drop()</t>
  </si>
  <si>
    <t>df.rename()</t>
  </si>
  <si>
    <t>df.astype()</t>
  </si>
  <si>
    <t>df.fillna()</t>
  </si>
  <si>
    <t>df.dropna()</t>
  </si>
  <si>
    <t>df.replace()</t>
  </si>
  <si>
    <t>df.apply()</t>
  </si>
  <si>
    <t>df.assign()</t>
  </si>
  <si>
    <t>df.sort_values()</t>
  </si>
  <si>
    <t>df.groupby()</t>
  </si>
  <si>
    <t>df.agg()</t>
  </si>
  <si>
    <t>df.mean()</t>
  </si>
  <si>
    <t>df.sum()</t>
  </si>
  <si>
    <t>df.count()</t>
  </si>
  <si>
    <t>pd.merge()</t>
  </si>
  <si>
    <t>pd.concat()</t>
  </si>
  <si>
    <t>df.join()</t>
  </si>
  <si>
    <t>df.add()</t>
  </si>
  <si>
    <t>df.mul()</t>
  </si>
  <si>
    <t>Multiplication</t>
  </si>
  <si>
    <t>df.clip()</t>
  </si>
  <si>
    <t>df.value_counts()</t>
  </si>
  <si>
    <t>df.to_excel()</t>
  </si>
  <si>
    <t>df.to_csv()</t>
  </si>
  <si>
    <t>Export CSV</t>
  </si>
  <si>
    <t>pd.read_excel()</t>
  </si>
  <si>
    <t>Import Excel</t>
  </si>
  <si>
    <t>pd.read_csv()</t>
  </si>
  <si>
    <t>Import CSV</t>
  </si>
  <si>
    <t>Export &amp; import</t>
  </si>
  <si>
    <t>PANDAS REFERENCE</t>
  </si>
  <si>
    <t>https://pandas.pydata.org/docs/reference/frame.html</t>
  </si>
  <si>
    <t>pd.merge(df1, df2, on="ID")</t>
  </si>
  <si>
    <t>pd.concat([df1, df2])</t>
  </si>
  <si>
    <t>df.join(df2)</t>
  </si>
  <si>
    <t>df.groupby("Service")["Salaire"].mean()</t>
  </si>
  <si>
    <t>df.agg(["sum","mean"])</t>
  </si>
  <si>
    <t>df["Col"]</t>
  </si>
  <si>
    <t>df.loc[ligne, colonne]</t>
  </si>
  <si>
    <t>df.iloc[0:5]</t>
  </si>
  <si>
    <t>df.query("Age &gt; 30")</t>
  </si>
  <si>
    <t>2019-02-12 14:09:59 UTC</t>
  </si>
  <si>
    <t>2019-02-12 17:33:32 UTC</t>
  </si>
  <si>
    <t>2019-02-03 17:17:58 UTC</t>
  </si>
  <si>
    <t>2019-02-03 19:10:14 UTC</t>
  </si>
  <si>
    <t>2019-02-02 14:31:19 UTC</t>
  </si>
  <si>
    <t>2019-02-02 16:04:05 UTC</t>
  </si>
  <si>
    <t>2019-02-25 18:12:30 UTC</t>
  </si>
  <si>
    <t>2019-02-25 22:13:40 UTC</t>
  </si>
  <si>
    <t>2019-02-24 19:20:05 UTC</t>
  </si>
  <si>
    <t>2019-02-24 20:52:25 UTC</t>
  </si>
  <si>
    <t>2019-02-25 16:35:01 UTC</t>
  </si>
  <si>
    <t>2019-02-25 18:29:18 UTC</t>
  </si>
  <si>
    <t>2019-02-04 23:08:43 UTC</t>
  </si>
  <si>
    <t>2019-02-04 23:29:15 UTC</t>
  </si>
  <si>
    <t>2019-02-11 17:04:18 UTC</t>
  </si>
  <si>
    <t>2019-02-11 22:50:03 UTC</t>
  </si>
  <si>
    <t>2019-02-05 19:15:01 UTC</t>
  </si>
  <si>
    <t>2019-02-05 20:35:33 UTC</t>
  </si>
  <si>
    <t>2019-02-08 17:54:04 UTC</t>
  </si>
  <si>
    <t>2019-02-08 20:20:36 UTC</t>
  </si>
  <si>
    <t>2019-02-04 18:16:51 UTC</t>
  </si>
  <si>
    <t>2019-02-04 23:00:43 UTC</t>
  </si>
  <si>
    <t>2019-02-01 16:59:22 UTC</t>
  </si>
  <si>
    <t>2019-02-01 19:07:40 UTC</t>
  </si>
  <si>
    <t>2019-02-05 19:50:02 UTC</t>
  </si>
  <si>
    <t>2019-02-05 23:25:10 UTC</t>
  </si>
  <si>
    <t>List of unique values</t>
  </si>
  <si>
    <t>NB Orders</t>
  </si>
  <si>
    <t>position</t>
  </si>
  <si>
    <t>2020-03-14 00:13:51 UTC</t>
  </si>
  <si>
    <t>2020-03-14 00:49:44 UTC</t>
  </si>
  <si>
    <t>2020-07-06 11:07:42 UTC</t>
  </si>
  <si>
    <t>2020-07-06 11:07:50 UTC</t>
  </si>
  <si>
    <t>2020-02-12 17:30:35 UTC</t>
  </si>
  <si>
    <t>2020-02-12 17:31:19 UTC</t>
  </si>
  <si>
    <t>2019-11-27 18:11:59 UTC</t>
  </si>
  <si>
    <t>2019-11-27 18:12:39 UTC</t>
  </si>
  <si>
    <t>2020-01-21 15:12:14 UTC</t>
  </si>
  <si>
    <t>2020-01-21 15:14:01 UTC</t>
  </si>
  <si>
    <t>2019-11-23 15:10:12 UTC</t>
  </si>
  <si>
    <t>2019-11-23 15:10:33 UTC</t>
  </si>
  <si>
    <t>2019-11-24 15:43:44 UTC</t>
  </si>
  <si>
    <t>2019-11-24 15:45:16 UTC</t>
  </si>
  <si>
    <t>2020-01-19 20:03:08 UTC</t>
  </si>
  <si>
    <t>2020-01-19 22:13:43 UTC</t>
  </si>
  <si>
    <t>2020-02-14 17:12:17 UTC</t>
  </si>
  <si>
    <t>2020-02-14 17:12:37 UTC</t>
  </si>
  <si>
    <t>2020-03-16 08:48:23 UTC</t>
  </si>
  <si>
    <t>2020-03-16 10:27:17 UTC</t>
  </si>
  <si>
    <t>2020-07-21 12:50:52 UTC</t>
  </si>
  <si>
    <t>2020-07-21 12:55:42 UTC</t>
  </si>
  <si>
    <t>2020-03-06 20:04:57 UTC</t>
  </si>
  <si>
    <t>2020-03-06 20:08:43 UTC</t>
  </si>
  <si>
    <t>2020-03-16 14:48:11 UTC</t>
  </si>
  <si>
    <t>2020-03-16 14:49:40 UTC</t>
  </si>
  <si>
    <t>2019-12-29 19:34:11 UTC</t>
  </si>
  <si>
    <t>2019-12-29 21:23:50 UTC</t>
  </si>
  <si>
    <t>2020-01-16 15:06:50 UTC</t>
  </si>
  <si>
    <t>2020-01-16 15:07:57 UTC</t>
  </si>
  <si>
    <t>2019-10-10 17:14:53 UTC</t>
  </si>
  <si>
    <t>2019-10-10 17:39:21 UTC</t>
  </si>
  <si>
    <t>2020-03-07 18:35:59 UTC</t>
  </si>
  <si>
    <t>2020-03-07 19:35:19 UTC</t>
  </si>
  <si>
    <t>2020-04-17 10:23:26 UTC</t>
  </si>
  <si>
    <t>2020-04-17 10:35:22 UTC</t>
  </si>
  <si>
    <t>2020-03-09 17:33:21 UTC</t>
  </si>
  <si>
    <t>2020-03-09 17:59:42 UTC</t>
  </si>
  <si>
    <t>2020-03-13 13:46:57 UTC</t>
  </si>
  <si>
    <t>2020-03-13 13:47:22 UTC</t>
  </si>
  <si>
    <t>2020-03-14 19:09:39 UTC</t>
  </si>
  <si>
    <t>2020-03-14 21:51:31 UTC</t>
  </si>
  <si>
    <t>2020-07-02 10:39:58 UTC</t>
  </si>
  <si>
    <t>2020-07-02 10:40:36 UTC</t>
  </si>
  <si>
    <t>2019-10-05 19:59:16 UTC</t>
  </si>
  <si>
    <t>2019-10-05 21:51:22 UTC</t>
  </si>
  <si>
    <t>2020-02-13 12:00:30 UTC</t>
  </si>
  <si>
    <t>2020-02-13 12:01:21 UTC</t>
  </si>
  <si>
    <t>2019-12-06 13:16:26 UTC</t>
  </si>
  <si>
    <t>2019-12-06 13:16:32 UTC</t>
  </si>
  <si>
    <t>2019-06-28 11:16:56 UTC</t>
  </si>
  <si>
    <t>2019-06-28 11:15:31 UTC</t>
  </si>
  <si>
    <t>2019-09-10 10:19:03 UTC</t>
  </si>
  <si>
    <t>2019-09-10 10:19:14 UTC</t>
  </si>
  <si>
    <t>2020-02-05 13:09:31 UTC</t>
  </si>
  <si>
    <t>2020-02-05 13:10:11 UTC</t>
  </si>
  <si>
    <t>2019-09-11 11:19:54 UTC</t>
  </si>
  <si>
    <t>2019-09-11 11:20:21 UTC</t>
  </si>
  <si>
    <t>2019-12-30 15:55:33 UTC</t>
  </si>
  <si>
    <t>2019-12-30 15:56:04 UTC</t>
  </si>
  <si>
    <t>2019-09-12 10:02:01 UTC</t>
  </si>
  <si>
    <t>2019-09-12 10:02:26 UTC</t>
  </si>
  <si>
    <t>2020-01-27 19:19:28 UTC</t>
  </si>
  <si>
    <t>2020-01-27 20:44:35 UTC</t>
  </si>
  <si>
    <t>2019-12-13 18:12:54 UTC</t>
  </si>
  <si>
    <t>2019-12-13 18:13:41 UTC</t>
  </si>
  <si>
    <t>2019-10-24 16:50:47 UTC</t>
  </si>
  <si>
    <t>2019-10-24 18:22:12 UTC</t>
  </si>
  <si>
    <t>2020-01-14 15:45:31 UTC</t>
  </si>
  <si>
    <t>2020-01-14 15:45:44 UTC</t>
  </si>
  <si>
    <t>2019-06-27 11:55:53 UTC</t>
  </si>
  <si>
    <t>2019-06-27 11:54:05 UTC</t>
  </si>
  <si>
    <t>2020-03-13 12:59:58 UTC</t>
  </si>
  <si>
    <t>2020-03-13 13:00:34 UTC</t>
  </si>
  <si>
    <t>2020-03-14 17:10:48 UTC</t>
  </si>
  <si>
    <t>2020-03-14 17:12:44 UTC</t>
  </si>
  <si>
    <t>2019-11-30 18:22:56 UTC</t>
  </si>
  <si>
    <t>2019-11-30 19:17:24 UTC</t>
  </si>
  <si>
    <t>2019-10-29 18:22:47 UTC</t>
  </si>
  <si>
    <t>2019-10-29 18:23:13 UTC</t>
  </si>
  <si>
    <t>2020-01-24 16:31:18 UTC</t>
  </si>
  <si>
    <t>2020-01-24 16:31:38 UTC</t>
  </si>
  <si>
    <t>2019-10-08 20:40:23 UTC</t>
  </si>
  <si>
    <t>2019-10-08 21:12:40 UTC</t>
  </si>
  <si>
    <t>2020-04-08 08:36:26 UTC</t>
  </si>
  <si>
    <t>2020-04-08 15:47:37 UTC</t>
  </si>
  <si>
    <t>2019-11-25 17:49:15 UTC</t>
  </si>
  <si>
    <t>2019-11-25 17:50:24 UTC</t>
  </si>
  <si>
    <t>2020-02-21 14:06:43 UTC</t>
  </si>
  <si>
    <t>2020-02-21 14:06:53 UTC</t>
  </si>
  <si>
    <t>2019-11-05 11:42:03 UTC</t>
  </si>
  <si>
    <t>2019-11-05 11:42:32 UTC</t>
  </si>
  <si>
    <t>2020-04-08 15:49:39 UTC</t>
  </si>
  <si>
    <t>2020-04-08 16:36:28 UTC</t>
  </si>
  <si>
    <t>2019-02-03 18:58:57 UTC</t>
  </si>
  <si>
    <t>2019-02-03 19:57:08 UTC</t>
  </si>
  <si>
    <t>2020-01-27 15:04:29 UTC</t>
  </si>
  <si>
    <t>2020-01-27 15:05:03 UTC</t>
  </si>
  <si>
    <t>2020-02-18 17:58:37 UTC</t>
  </si>
  <si>
    <t>2020-02-18 19:53:48 UTC</t>
  </si>
  <si>
    <t>2019-11-25 18:03:01 UTC</t>
  </si>
  <si>
    <t>2019-11-25 18:03:39 UTC</t>
  </si>
  <si>
    <t>2020-02-26 11:43:21 UTC</t>
  </si>
  <si>
    <t>2020-02-26 11:44:56 UTC</t>
  </si>
  <si>
    <t>2020-02-03 19:11:24 UTC</t>
  </si>
  <si>
    <t>2020-02-03 19:11:39 UTC</t>
  </si>
  <si>
    <t>2019-11-09 17:23:10 UTC</t>
  </si>
  <si>
    <t>2019-11-09 19:17:00 UTC</t>
  </si>
  <si>
    <t>2020-01-31 18:19:22 UTC</t>
  </si>
  <si>
    <t>2020-01-31 19:42:43 UTC</t>
  </si>
  <si>
    <t>2020-05-11 12:32:20 UTC</t>
  </si>
  <si>
    <t>2020-05-11 12:32:40 UTC</t>
  </si>
  <si>
    <t>2019-10-25 15:40:19 UTC</t>
  </si>
  <si>
    <t>2019-10-25 15:41:26 UTC</t>
  </si>
  <si>
    <t>2019-11-09 14:55:35 UTC</t>
  </si>
  <si>
    <t>2019-11-09 14:55:43 UTC</t>
  </si>
  <si>
    <t>2019-01-03 20:23:44 UTC</t>
  </si>
  <si>
    <t>2019-01-03 20:33:33 UTC</t>
  </si>
  <si>
    <t>2019-11-22 13:49:46 UTC</t>
  </si>
  <si>
    <t>2019-11-22 13:49:52 UTC</t>
  </si>
  <si>
    <t>2019-10-17 17:54:05 UTC</t>
  </si>
  <si>
    <t>2019-10-17 19:44:19 UTC</t>
  </si>
  <si>
    <t>2020-02-22 11:35:43 UTC</t>
  </si>
  <si>
    <t>2020-02-22 12:42:32 UTC</t>
  </si>
  <si>
    <t>2020-02-01 19:34:21 UTC</t>
  </si>
  <si>
    <t>2020-02-01 20:40:23 UTC</t>
  </si>
  <si>
    <t>2019-10-25 19:44:16 UTC</t>
  </si>
  <si>
    <t>2019-10-25 21:20:59 UTC</t>
  </si>
  <si>
    <t>2019-11-08 19:03:50 UTC</t>
  </si>
  <si>
    <t>2019-11-08 23:43:27 UTC</t>
  </si>
  <si>
    <t>2020-03-09 17:27:02 UTC</t>
  </si>
  <si>
    <t>2020-03-09 18:47:47 UTC</t>
  </si>
  <si>
    <t>2019-12-29 16:10:01 UTC</t>
  </si>
  <si>
    <t>2019-12-29 16:12:18 UTC</t>
  </si>
  <si>
    <t>2020-02-21 18:01:51 UTC</t>
  </si>
  <si>
    <t>2020-02-21 18:03:07 UTC</t>
  </si>
  <si>
    <t>2019-11-08 15:46:36 UTC</t>
  </si>
  <si>
    <t>2019-11-08 15:46:48 UTC</t>
  </si>
  <si>
    <t>2019-12-13 22:16:46 UTC</t>
  </si>
  <si>
    <t>2019-12-13 22:16:49 UTC</t>
  </si>
  <si>
    <t>2019-09-12 10:55:06 UTC</t>
  </si>
  <si>
    <t>2019-09-12 10:55:20 UTC</t>
  </si>
  <si>
    <t>2019-09-11 10:33:30 UTC</t>
  </si>
  <si>
    <t>2019-09-11 10:33:52 UTC</t>
  </si>
  <si>
    <t>2020-03-02 17:11:07 UTC</t>
  </si>
  <si>
    <t>2020-03-02 17:48:27 UTC</t>
  </si>
  <si>
    <t>2019-09-11 11:09:08 UTC</t>
  </si>
  <si>
    <t>2019-09-11 11:09:26 UTC</t>
  </si>
  <si>
    <t>2020-02-17 13:49:26 UTC</t>
  </si>
  <si>
    <t>2020-02-17 14:08:19 UTC</t>
  </si>
  <si>
    <t>2019-11-04 18:58:39 UTC</t>
  </si>
  <si>
    <t>2019-11-04 19:08:07 UTC</t>
  </si>
  <si>
    <t>2019-12-30 19:32:04 UTC</t>
  </si>
  <si>
    <t>2019-12-30 20:17:08 UTC</t>
  </si>
  <si>
    <t>2020-05-19 13:18:42 UTC</t>
  </si>
  <si>
    <t>2020-05-19 13:19:31 UTC</t>
  </si>
  <si>
    <t>2020-06-30 10:53:53 UTC</t>
  </si>
  <si>
    <t>2020-06-30 10:53:54 UTC</t>
  </si>
  <si>
    <t>2019-10-11 15:52:39 UTC</t>
  </si>
  <si>
    <t>2019-10-11 15:53:14 UTC</t>
  </si>
  <si>
    <t>2019-12-01 16:53:46 UTC</t>
  </si>
  <si>
    <t>2019-12-01 16:56:16 UTC</t>
  </si>
  <si>
    <t>2020-01-13 18:03:52 UTC</t>
  </si>
  <si>
    <t>2020-01-13 18:05:39 UTC</t>
  </si>
  <si>
    <t>2020-02-15 19:27:43 UTC</t>
  </si>
  <si>
    <t>2020-02-15 20:01:46 UTC</t>
  </si>
  <si>
    <t>2019-10-21 16:11:16 UTC</t>
  </si>
  <si>
    <t>2019-10-21 16:11:42 UTC</t>
  </si>
  <si>
    <t>2019-12-06 18:03:09 UTC</t>
  </si>
  <si>
    <t>2019-12-06 18:03:59 UTC</t>
  </si>
  <si>
    <t>2020-07-03 15:10:14 UTC</t>
  </si>
  <si>
    <t>2020-07-03 15:10:21 UTC</t>
  </si>
  <si>
    <t>2019-11-04 09:36:42 UTC</t>
  </si>
  <si>
    <t>2019-11-04 09:37:15 UTC</t>
  </si>
  <si>
    <t>2019-11-22 12:39:11 UTC</t>
  </si>
  <si>
    <t>2019-11-22 12:39:59 UTC</t>
  </si>
  <si>
    <t>2020-03-09 19:26:34 UTC</t>
  </si>
  <si>
    <t>2020-03-09 21:42:07 UTC</t>
  </si>
  <si>
    <t>2019-11-16 12:22:50 UTC</t>
  </si>
  <si>
    <t>2019-11-16 12:23:38 UTC</t>
  </si>
  <si>
    <t>2019-11-06 18:44:54 UTC</t>
  </si>
  <si>
    <t>2019-11-06 18:44:56 UTC</t>
  </si>
  <si>
    <t>2020-03-02 17:48:06 UTC</t>
  </si>
  <si>
    <t>2020-03-02 18:36:31 UTC</t>
  </si>
  <si>
    <t>2020-04-01 13:29:26 UTC</t>
  </si>
  <si>
    <t>2020-04-01 15:54:13 UTC</t>
  </si>
  <si>
    <t>2019-01-18 10:52:04 UTC</t>
  </si>
  <si>
    <t>2019-01-18 12:56:48 UTC</t>
  </si>
  <si>
    <t>2020-05-18 13:21:52 UTC</t>
  </si>
  <si>
    <t>2020-05-18 13:22:21 UTC</t>
  </si>
  <si>
    <t>2020-07-08 12:33:53 UTC</t>
  </si>
  <si>
    <t>2020-07-08 12:37:29 UTC</t>
  </si>
  <si>
    <t>2020-01-13 17:47:16 UTC</t>
  </si>
  <si>
    <t>2020-01-13 17:48:53 UTC</t>
  </si>
  <si>
    <t>2019-12-03 18:16:51 UTC</t>
  </si>
  <si>
    <t>2019-12-03 22:12:06 UTC</t>
  </si>
  <si>
    <t>2020-01-27 19:09:24 UTC</t>
  </si>
  <si>
    <t>2020-01-27 22:37:41 UTC</t>
  </si>
  <si>
    <t>2020-02-07 12:28:02 UTC</t>
  </si>
  <si>
    <t>2020-02-07 12:28:56 UTC</t>
  </si>
  <si>
    <t>2019-12-06 18:20:41 UTC</t>
  </si>
  <si>
    <t>2019-12-06 18:21:53 UTC</t>
  </si>
  <si>
    <t>2020-07-13 12:41:36 UTC</t>
  </si>
  <si>
    <t>2020-07-13 12:42:08 UTC</t>
  </si>
  <si>
    <t>2019-10-23 15:10:49 UTC</t>
  </si>
  <si>
    <t>2019-10-23 15:11:37 UTC</t>
  </si>
  <si>
    <t>2019-01-26 12:19:22 UTC</t>
  </si>
  <si>
    <t>2019-01-26 15:19:51 UTC</t>
  </si>
  <si>
    <t>2020-04-01 13:28:05 UTC</t>
  </si>
  <si>
    <t>2020-04-02 14:23:06 UTC</t>
  </si>
  <si>
    <t>2020-02-14 13:01:59 UTC</t>
  </si>
  <si>
    <t>2020-02-14 13:02:13 UTC</t>
  </si>
  <si>
    <t>2020-02-13 11:58:32 UTC</t>
  </si>
  <si>
    <t>2020-02-13 11:58:33 UTC</t>
  </si>
  <si>
    <t>2020-02-28 11:19:09 UTC</t>
  </si>
  <si>
    <t>2020-02-28 11:19:29 UTC</t>
  </si>
  <si>
    <t>2019-11-06 17:35:35 UTC</t>
  </si>
  <si>
    <t>2019-11-06 18:10:51 UTC</t>
  </si>
  <si>
    <t>2020-07-28 10:39:21 UTC</t>
  </si>
  <si>
    <t>2020-07-28 10:39:48 UTC</t>
  </si>
  <si>
    <t>2019-10-17 18:12:56 UTC</t>
  </si>
  <si>
    <t>2019-10-17 22:12:38 UTC</t>
  </si>
  <si>
    <t>2019-11-04 13:28:08 UTC</t>
  </si>
  <si>
    <t>2019-11-04 13:28:12 UTC</t>
  </si>
  <si>
    <t>2020-03-17 09:09:45 UTC</t>
  </si>
  <si>
    <t>2020-03-17 09:55:13 UTC</t>
  </si>
  <si>
    <t>2019-10-26 15:37:43 UTC</t>
  </si>
  <si>
    <t>2019-10-26 15:38:58 UTC</t>
  </si>
  <si>
    <t>2019-11-15 15:00:17 UTC</t>
  </si>
  <si>
    <t>2019-11-15 15:19:50 UTC</t>
  </si>
  <si>
    <t>2020-05-22 13:29:03 UTC</t>
  </si>
  <si>
    <t>2020-05-22 13:30:55 UTC</t>
  </si>
  <si>
    <t>2019-12-12 11:25:33 UTC</t>
  </si>
  <si>
    <t>2019-12-12 11:26:41 UTC</t>
  </si>
  <si>
    <t>2019-11-23 16:09:29 UTC</t>
  </si>
  <si>
    <t>2019-11-23 16:10:17 UTC</t>
  </si>
  <si>
    <t>2020-01-11 12:49:52 UTC</t>
  </si>
  <si>
    <t>2020-01-11 12:50:13 UTC</t>
  </si>
  <si>
    <t>2020-03-05 16:14:49 UTC</t>
  </si>
  <si>
    <t>2020-03-05 16:14:51 UTC</t>
  </si>
  <si>
    <t>2020-02-16 18:20:53 UTC</t>
  </si>
  <si>
    <t>2020-02-16 20:59:11 UTC</t>
  </si>
  <si>
    <t>2019-10-23 17:08:06 UTC</t>
  </si>
  <si>
    <t>2019-10-23 19:05:50 UTC</t>
  </si>
  <si>
    <t>2020-03-05 12:07:16 UTC</t>
  </si>
  <si>
    <t>2020-03-05 13:06:13 UTC</t>
  </si>
  <si>
    <t>2019-11-29 16:49:34 UTC</t>
  </si>
  <si>
    <t>2019-11-29 16:49:52 UTC</t>
  </si>
  <si>
    <t>2019-10-05 16:33:18 UTC</t>
  </si>
  <si>
    <t>2019-10-05 17:19:26 UTC</t>
  </si>
  <si>
    <t>2020-03-08 17:51:10 UTC</t>
  </si>
  <si>
    <t>2020-03-08 18:16:08 UTC</t>
  </si>
  <si>
    <t>2020-03-21 16:07:12 UTC</t>
  </si>
  <si>
    <t>2020-03-21 17:22:07 UTC</t>
  </si>
  <si>
    <t>2019-12-12 19:40:14 UTC</t>
  </si>
  <si>
    <t>2019-12-12 20:20:00 UTC</t>
  </si>
  <si>
    <t>2019-12-29 23:43:14 UTC</t>
  </si>
  <si>
    <t>2019-12-30 00:04:28 UTC</t>
  </si>
  <si>
    <t>2020-07-09 13:34:21 UTC</t>
  </si>
  <si>
    <t>2020-07-09 14:03:35 UTC</t>
  </si>
  <si>
    <t>2020-01-31 10:46:35 UTC</t>
  </si>
  <si>
    <t>2020-01-31 10:49:21 UTC</t>
  </si>
  <si>
    <t>2020-07-09 10:51:57 UTC</t>
  </si>
  <si>
    <t>2020-07-09 10:52:09 UTC</t>
  </si>
  <si>
    <t>2019-01-03 18:13:02 UTC</t>
  </si>
  <si>
    <t>2019-01-03 18:42:03 UTC</t>
  </si>
  <si>
    <t>2020-03-12 12:07:19 UTC</t>
  </si>
  <si>
    <t>2020-03-12 12:35:53 UTC</t>
  </si>
  <si>
    <t>2020-03-16 11:24:36 UTC</t>
  </si>
  <si>
    <t>2020-03-16 12:19:18 UTC</t>
  </si>
  <si>
    <t>2020-01-09 18:41:08 UTC</t>
  </si>
  <si>
    <t>2020-01-09 19:49:19 UTC</t>
  </si>
  <si>
    <t>2020-02-03 16:46:20 UTC</t>
  </si>
  <si>
    <t>2020-02-03 16:46:32 UTC</t>
  </si>
  <si>
    <t>2020-03-13 10:20:53 UTC</t>
  </si>
  <si>
    <t>2020-03-13 10:21:35 UTC</t>
  </si>
  <si>
    <t>2020-06-19 10:09:58 UTC</t>
  </si>
  <si>
    <t>2020-06-19 10:10:41 UTC</t>
  </si>
  <si>
    <t>2020-01-28 18:43:37 UTC</t>
  </si>
  <si>
    <t>2020-01-28 21:19:22 UTC</t>
  </si>
  <si>
    <t>2020-02-21 15:10:13 UTC</t>
  </si>
  <si>
    <t>2020-02-21 15:10:39 UTC</t>
  </si>
  <si>
    <t>2020-04-09 11:51:01 UTC</t>
  </si>
  <si>
    <t>2020-04-09 12:18:58 UTC</t>
  </si>
  <si>
    <t>2020-05-02 14:08:51 UTC</t>
  </si>
  <si>
    <t>2020-05-02 14:13:56 UTC</t>
  </si>
  <si>
    <t>2020-07-21 11:16:10 UTC</t>
  </si>
  <si>
    <t>2020-07-21 11:16:58 UTC</t>
  </si>
  <si>
    <t>2019-11-03 21:27:41 UTC</t>
  </si>
  <si>
    <t>2019-11-03 21:41:23 UTC</t>
  </si>
  <si>
    <t>2020-06-08 10:25:48 UTC</t>
  </si>
  <si>
    <t>2020-06-08 10:26:21 UTC</t>
  </si>
  <si>
    <t>2019-12-04 17:14:39 UTC</t>
  </si>
  <si>
    <t>2019-12-04 17:16:09 UTC</t>
  </si>
  <si>
    <t>2020-02-14 11:55:46 UTC</t>
  </si>
  <si>
    <t>2020-02-14 11:56:52 UTC</t>
  </si>
  <si>
    <t>2019-09-12 10:52:02 UTC</t>
  </si>
  <si>
    <t>2019-09-12 10:52:23 UTC</t>
  </si>
  <si>
    <t>2019-09-12 11:10:17 UTC</t>
  </si>
  <si>
    <t>2019-09-12 11:10:38 UTC</t>
  </si>
  <si>
    <t>2019-09-12 11:32:42 UTC</t>
  </si>
  <si>
    <t>2019-09-12 11:33:24 UTC</t>
  </si>
  <si>
    <t>2019-10-25 18:37:56 UTC</t>
  </si>
  <si>
    <t>2019-10-25 18:45:48 UTC</t>
  </si>
  <si>
    <t>2019-11-07 19:06:12 UTC</t>
  </si>
  <si>
    <t>2019-11-07 19:56:05 UTC</t>
  </si>
  <si>
    <t>2020-03-06 15:35:41 UTC</t>
  </si>
  <si>
    <t>2020-03-06 15:36:18 UTC</t>
  </si>
  <si>
    <t>2020-02-19 08:11:00 UTC</t>
  </si>
  <si>
    <t>2020-02-19 08:12:56 UTC</t>
  </si>
  <si>
    <t>2019-09-10 11:35:29 UTC</t>
  </si>
  <si>
    <t>2019-09-10 11:35:45 UTC</t>
  </si>
  <si>
    <t>2019-12-02 18:28:22 UTC</t>
  </si>
  <si>
    <t>2019-12-02 18:32:42 UTC</t>
  </si>
  <si>
    <t>2019-09-11 10:32:26 UTC</t>
  </si>
  <si>
    <t>2019-09-11 10:33:08 UTC</t>
  </si>
  <si>
    <t>2019-11-30 20:28:20 UTC</t>
  </si>
  <si>
    <t>2019-11-30 20:28:50 UTC</t>
  </si>
  <si>
    <t>2020-03-14 19:14:45 UTC</t>
  </si>
  <si>
    <t>2020-03-14 19:14:50 UTC</t>
  </si>
  <si>
    <t>2020-02-24 17:55:58 UTC</t>
  </si>
  <si>
    <t>2020-02-24 18:13:59 UTC</t>
  </si>
  <si>
    <t>SNS HEATMAP</t>
  </si>
  <si>
    <t>SNS CATPLOT</t>
  </si>
  <si>
    <t>SNS JOINTPLOT KDE/REG</t>
  </si>
  <si>
    <t>SNS JOINTPLOT HEX</t>
  </si>
  <si>
    <t>https://seaborn.pydata.org/tutorial.html</t>
  </si>
  <si>
    <t>https://matplotlib.org/stable/users/index.html</t>
  </si>
  <si>
    <t>https://numpy.org/doc/stable/</t>
  </si>
  <si>
    <t>NUMPY</t>
  </si>
  <si>
    <t>PANDAS</t>
  </si>
  <si>
    <t>SEABORN</t>
  </si>
  <si>
    <t>MATPLOTLIB</t>
  </si>
  <si>
    <t>PYTHON</t>
  </si>
  <si>
    <t>https://docs.python.org/3/contents.html</t>
  </si>
  <si>
    <t>https://jupyterlite.github.io/demo/lab/</t>
  </si>
  <si>
    <t>Training</t>
  </si>
  <si>
    <t>Level</t>
  </si>
  <si>
    <t>Q1</t>
  </si>
  <si>
    <t>Q2</t>
  </si>
  <si>
    <t>Q3</t>
  </si>
  <si>
    <t>Q4</t>
  </si>
  <si>
    <t>Excel</t>
  </si>
  <si>
    <t>Base</t>
  </si>
  <si>
    <t>Power BI</t>
  </si>
  <si>
    <t>Powerpoint</t>
  </si>
  <si>
    <t>Sharepoint</t>
  </si>
  <si>
    <t>VBA</t>
  </si>
  <si>
    <t>Intermediate</t>
  </si>
  <si>
    <t>Advanced</t>
  </si>
  <si>
    <t>Admin</t>
  </si>
  <si>
    <t>Expert</t>
  </si>
  <si>
    <t>DEC 15 2024</t>
  </si>
  <si>
    <t>NOV 22 2024</t>
  </si>
  <si>
    <t>NOV. 11 2024</t>
  </si>
  <si>
    <t>NOV-14 2024</t>
  </si>
  <si>
    <t>oct 15th 2024</t>
  </si>
  <si>
    <t>12th apr. 2024</t>
  </si>
  <si>
    <t>⭐⭐⭐⭐⭐</t>
  </si>
  <si>
    <t>⭐☆☆☆☆</t>
  </si>
  <si>
    <t>Data analysis / ML</t>
  </si>
  <si>
    <t>⭐⭐☆☆☆</t>
  </si>
  <si>
    <t>✔ Total</t>
  </si>
  <si>
    <t>• pandas, numpy, matplotlib</t>
  </si>
  <si>
    <t>Order ID</t>
  </si>
  <si>
    <t>Store</t>
  </si>
  <si>
    <t>NB_cust</t>
  </si>
  <si>
    <t>Amount</t>
  </si>
  <si>
    <t xml:space="preserve">Store </t>
  </si>
  <si>
    <t>Distribution des montants par nombre de clients</t>
  </si>
  <si>
    <t>Python in Excel</t>
  </si>
  <si>
    <t>Average</t>
  </si>
  <si>
    <t>Ex3</t>
  </si>
  <si>
    <t>Ex1a</t>
  </si>
  <si>
    <t>Ex1b</t>
  </si>
  <si>
    <t>Ex2a</t>
  </si>
  <si>
    <t>Ex2b</t>
  </si>
  <si>
    <t>Tax rate</t>
  </si>
  <si>
    <t>VIP discount</t>
  </si>
  <si>
    <t>Values for calculations</t>
  </si>
  <si>
    <t>Defined name</t>
  </si>
  <si>
    <t>Ex5a: IF</t>
  </si>
  <si>
    <t>Ex5b: IF</t>
  </si>
  <si>
    <t>Ex4: List</t>
  </si>
  <si>
    <t>Ex6a: Loop</t>
  </si>
  <si>
    <t>Ex6e: Loop</t>
  </si>
  <si>
    <t>Ex6b</t>
  </si>
  <si>
    <t>Ex6c</t>
  </si>
  <si>
    <t>Ex6d</t>
  </si>
  <si>
    <t>ExD1: Working with dates</t>
  </si>
  <si>
    <t>ExD2: Working with dates</t>
  </si>
  <si>
    <t>ExD3: Working days</t>
  </si>
  <si>
    <t>Creation &amp; Information</t>
  </si>
  <si>
    <t>Selection &amp; Filtering</t>
  </si>
  <si>
    <t>Cleaning &amp; Transformation</t>
  </si>
  <si>
    <t>Create a DataFrame</t>
  </si>
  <si>
    <t>Info on columns, types, missing values</t>
  </si>
  <si>
    <t>Descriptive statistics</t>
  </si>
  <si>
    <t>First rows</t>
  </si>
  <si>
    <t>Last rows</t>
  </si>
  <si>
    <t>List of columns</t>
  </si>
  <si>
    <t>Selecting a column</t>
  </si>
  <si>
    <t>Multiple Selection</t>
  </si>
  <si>
    <t>Selection by labels</t>
  </si>
  <si>
    <t>Selection by position</t>
  </si>
  <si>
    <t>Filter with SQL-like syntax</t>
  </si>
  <si>
    <t>Filter by column names</t>
  </si>
  <si>
    <t>df[df["Sales"] &gt; 1000]</t>
  </si>
  <si>
    <t>Delete rows/columns</t>
  </si>
  <si>
    <t>Rename</t>
  </si>
  <si>
    <t>Change Type</t>
  </si>
  <si>
    <t>Replace Missing Values</t>
  </si>
  <si>
    <t>Remove missing values</t>
  </si>
  <si>
    <t>Replace Values</t>
  </si>
  <si>
    <t>Apply a function</t>
  </si>
  <si>
    <t>AjouAdd columnster colonnes</t>
  </si>
  <si>
    <t>Sort</t>
  </si>
  <si>
    <t>Aggregation &amp; Grouping</t>
  </si>
  <si>
    <t>Group by column</t>
  </si>
  <si>
    <t>Multiple aggregations</t>
  </si>
  <si>
    <t>Sum</t>
  </si>
  <si>
    <t>Count</t>
  </si>
  <si>
    <t>Merge &amp; join</t>
  </si>
  <si>
    <t>SQL-like join</t>
  </si>
  <si>
    <t>Combne Dataframes</t>
  </si>
  <si>
    <t>Simplified join by index</t>
  </si>
  <si>
    <t>Adding column by column</t>
  </si>
  <si>
    <t>Limit values</t>
  </si>
  <si>
    <t>Counting occurrences</t>
  </si>
  <si>
    <t>Export to Excel</t>
  </si>
  <si>
    <t>Filter by date range</t>
  </si>
  <si>
    <t>Temporal analysis</t>
  </si>
  <si>
    <t>Top 10 amounts</t>
  </si>
  <si>
    <t>Multiple aggregations pivot table, rename and sort</t>
  </si>
  <si>
    <t>Python = Analysis &amp; Data Science</t>
  </si>
  <si>
    <t>• Cleaning, transformation, models</t>
  </si>
  <si>
    <t>• Ideal for business workflows</t>
  </si>
  <si>
    <t>• Excel handling</t>
  </si>
  <si>
    <t>VBA remains the reference for automating Excel, manipulating cells, sheets, workbooks, and creating business processes.</t>
  </si>
  <si>
    <t>Python in Excel is a complementary tool, ideal for processing, analyzing, and visualizing complex data.</t>
  </si>
  <si>
    <t>The two technologies are not opposed: they complement each other as needed.</t>
  </si>
  <si>
    <t>• Macros, forms, files</t>
  </si>
  <si>
    <t>df.shape()</t>
  </si>
  <si>
    <t>df.columns()</t>
  </si>
  <si>
    <t>df.index()</t>
  </si>
  <si>
    <t>Cleaning empty rows in a dataframe</t>
  </si>
  <si>
    <t>Selecting columns and sorting</t>
  </si>
  <si>
    <t>Merging 2 ranges</t>
  </si>
  <si>
    <t>Detecting anomalies in a dataframe</t>
  </si>
  <si>
    <t>Ex UP1</t>
  </si>
  <si>
    <t>Median</t>
  </si>
  <si>
    <t>EX MPL1</t>
  </si>
  <si>
    <t>EX MPL2</t>
  </si>
  <si>
    <t>Distribution of salesby number of clients</t>
  </si>
  <si>
    <t>Distribution of amounts per store</t>
  </si>
  <si>
    <t>Date</t>
  </si>
  <si>
    <t>Region</t>
  </si>
  <si>
    <t>Product</t>
  </si>
  <si>
    <t>Quantity</t>
  </si>
  <si>
    <t>UnitPrice</t>
  </si>
  <si>
    <t>North</t>
  </si>
  <si>
    <t>Laptop</t>
  </si>
  <si>
    <t>South</t>
  </si>
  <si>
    <t>Monitor</t>
  </si>
  <si>
    <t>Keyboard</t>
  </si>
  <si>
    <t>West</t>
  </si>
  <si>
    <t>Mouse</t>
  </si>
  <si>
    <t>East</t>
  </si>
  <si>
    <t>Ex FE1</t>
  </si>
  <si>
    <t>Ex FE2</t>
  </si>
  <si>
    <t>EX FE3</t>
  </si>
  <si>
    <t>Ex FE4</t>
  </si>
  <si>
    <t>Ex FE5</t>
  </si>
  <si>
    <t>Ex FE6</t>
  </si>
  <si>
    <t>Ex FE7</t>
  </si>
  <si>
    <t>Ex FE8</t>
  </si>
  <si>
    <t>EX BONUS1</t>
  </si>
  <si>
    <t>EX BONUS2</t>
  </si>
  <si>
    <t>EX BONUS3</t>
  </si>
  <si>
    <t>EX BONUS4</t>
  </si>
  <si>
    <t>EX BONUS6</t>
  </si>
  <si>
    <t>EX BONUS5</t>
  </si>
  <si>
    <t>Automate Excel</t>
  </si>
  <si>
    <t>Visualizations</t>
  </si>
  <si>
    <t>Access to object model</t>
  </si>
  <si>
    <t>Execution</t>
  </si>
  <si>
    <t>Learning process</t>
  </si>
  <si>
    <t>Ideal for…</t>
  </si>
  <si>
    <t>Local</t>
  </si>
  <si>
    <t>❌ none</t>
  </si>
  <si>
    <t>Criteria</t>
  </si>
  <si>
    <t xml:space="preserve">Cloud / secured Runtime </t>
  </si>
  <si>
    <t>Easy → Intermediary</t>
  </si>
  <si>
    <t>Intermediary</t>
  </si>
  <si>
    <t>Macros, Office automation</t>
  </si>
  <si>
    <t>Analysis, models, intensive treatments</t>
  </si>
  <si>
    <t>VBA = Automation</t>
  </si>
  <si>
    <t>• Ideal for big data &amp; statistics</t>
  </si>
  <si>
    <t>Type a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</si>
</sst>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CHF&quot;;[Red]\-#,##0.00\ &quot;CHF&quot;"/>
    <numFmt numFmtId="164" formatCode="0.0"/>
    <numFmt numFmtId="165" formatCode="_-* #,##0\ [$CHF-100C]_-;\-* #,##0\ [$CHF-100C]_-;_-* &quot;-&quot;??\ [$CHF-100C]_-;_-@_-"/>
  </numFmts>
  <fonts count="22" x14ac:knownFonts="1">
    <font>
      <sz val="11"/>
      <color theme="1"/>
      <name val="Aptos Narrow"/>
      <family val="2"/>
      <scheme val="minor"/>
    </font>
    <font>
      <b/>
      <sz val="15"/>
      <color theme="3"/>
      <name val="Aptos Narrow"/>
      <family val="2"/>
      <scheme val="minor"/>
    </font>
    <font>
      <sz val="11"/>
      <color theme="0"/>
      <name val="Aptos Narrow"/>
      <family val="2"/>
      <scheme val="minor"/>
    </font>
    <font>
      <u/>
      <sz val="11"/>
      <color theme="10"/>
      <name val="Aptos Narrow"/>
      <family val="2"/>
      <scheme val="minor"/>
    </font>
    <font>
      <sz val="48"/>
      <color theme="1"/>
      <name val="Aptos Narrow"/>
      <family val="2"/>
      <scheme val="minor"/>
    </font>
    <font>
      <sz val="11"/>
      <color rgb="FF242424"/>
      <name val="Segoe UI"/>
      <family val="2"/>
    </font>
    <font>
      <sz val="14"/>
      <color theme="0"/>
      <name val="Aptos Narrow"/>
      <family val="2"/>
      <scheme val="minor"/>
    </font>
    <font>
      <b/>
      <sz val="11"/>
      <color rgb="FF242424"/>
      <name val="Segoe UI"/>
      <family val="2"/>
    </font>
    <font>
      <b/>
      <sz val="12"/>
      <color theme="1"/>
      <name val="Aptos Narrow"/>
      <family val="2"/>
      <scheme val="minor"/>
    </font>
    <font>
      <b/>
      <sz val="14"/>
      <color theme="1"/>
      <name val="Aptos Narrow"/>
      <family val="2"/>
      <scheme val="minor"/>
    </font>
    <font>
      <u/>
      <sz val="14"/>
      <color theme="10"/>
      <name val="Aptos Narrow"/>
      <family val="2"/>
      <scheme val="minor"/>
    </font>
    <font>
      <sz val="14"/>
      <color theme="1"/>
      <name val="Aptos Narrow"/>
      <family val="2"/>
      <scheme val="minor"/>
    </font>
    <font>
      <b/>
      <sz val="13"/>
      <color theme="3"/>
      <name val="Aptos Narrow"/>
      <family val="2"/>
      <scheme val="minor"/>
    </font>
    <font>
      <sz val="11"/>
      <color theme="1"/>
      <name val="Segoe UI"/>
      <family val="2"/>
    </font>
    <font>
      <b/>
      <sz val="11"/>
      <color theme="1"/>
      <name val="Segoe UI"/>
      <family val="2"/>
    </font>
    <font>
      <sz val="12"/>
      <color rgb="FF000000"/>
      <name val="Segoe UI"/>
      <family val="2"/>
    </font>
    <font>
      <b/>
      <sz val="12"/>
      <color theme="7"/>
      <name val="Aptos Narrow"/>
      <family val="2"/>
      <scheme val="minor"/>
    </font>
    <font>
      <b/>
      <sz val="16"/>
      <color theme="1"/>
      <name val="Aptos Narrow"/>
      <family val="2"/>
      <scheme val="minor"/>
    </font>
    <font>
      <u/>
      <sz val="16"/>
      <color theme="10"/>
      <name val="Aptos Narrow"/>
      <family val="2"/>
      <scheme val="minor"/>
    </font>
    <font>
      <sz val="16"/>
      <color theme="1"/>
      <name val="Aptos Narrow"/>
      <family val="2"/>
      <scheme val="minor"/>
    </font>
    <font>
      <b/>
      <sz val="16"/>
      <color theme="1"/>
      <name val="Segoe UI"/>
      <family val="2"/>
    </font>
    <font>
      <sz val="16"/>
      <color theme="1"/>
      <name val="Segoe UI"/>
      <family val="2"/>
    </font>
  </fonts>
  <fills count="12">
    <fill>
      <patternFill patternType="none"/>
    </fill>
    <fill>
      <patternFill patternType="gray125"/>
    </fill>
    <fill>
      <patternFill patternType="solid">
        <fgColor theme="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bgColor indexed="64"/>
      </patternFill>
    </fill>
    <fill>
      <patternFill patternType="solid">
        <fgColor theme="7"/>
        <bgColor indexed="64"/>
      </patternFill>
    </fill>
    <fill>
      <patternFill patternType="solid">
        <fgColor theme="2"/>
        <bgColor indexed="64"/>
      </patternFill>
    </fill>
    <fill>
      <patternFill patternType="solid">
        <fgColor rgb="FFF5F5F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s>
  <borders count="18">
    <border>
      <left/>
      <right/>
      <top/>
      <bottom/>
      <diagonal/>
    </border>
    <border>
      <left/>
      <right/>
      <top/>
      <bottom style="thick">
        <color theme="4"/>
      </bottom>
      <diagonal/>
    </border>
    <border>
      <left/>
      <right/>
      <top/>
      <bottom style="medium">
        <color indexed="64"/>
      </bottom>
      <diagonal/>
    </border>
    <border>
      <left/>
      <right/>
      <top/>
      <bottom style="thick">
        <color theme="4" tint="0.499984740745262"/>
      </bottom>
      <diagonal/>
    </border>
    <border>
      <left style="medium">
        <color rgb="FFE6E6E6"/>
      </left>
      <right style="medium">
        <color rgb="FFE6E6E6"/>
      </right>
      <top style="medium">
        <color rgb="FFE6E6E6"/>
      </top>
      <bottom style="medium">
        <color rgb="FFE6E6E6"/>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ck">
        <color theme="4" tint="0.499984740745262"/>
      </bottom>
      <diagonal/>
    </border>
    <border>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style="thin">
        <color indexed="64"/>
      </left>
      <right/>
      <top/>
      <bottom/>
      <diagonal/>
    </border>
    <border>
      <left style="thin">
        <color indexed="64"/>
      </left>
      <right/>
      <top/>
      <bottom style="thick">
        <color theme="4"/>
      </bottom>
      <diagonal/>
    </border>
    <border>
      <left style="thin">
        <color indexed="64"/>
      </left>
      <right/>
      <top/>
      <bottom style="thick">
        <color theme="4" tint="0.499984740745262"/>
      </bottom>
      <diagonal/>
    </border>
    <border>
      <left style="medium">
        <color rgb="FFE6E6E6"/>
      </left>
      <right style="medium">
        <color rgb="FFE6E6E6"/>
      </right>
      <top/>
      <bottom/>
      <diagonal/>
    </border>
    <border>
      <left/>
      <right style="medium">
        <color rgb="FFE6E6E6"/>
      </right>
      <top style="medium">
        <color rgb="FFE6E6E6"/>
      </top>
      <bottom style="medium">
        <color rgb="FFE6E6E6"/>
      </bottom>
      <diagonal/>
    </border>
    <border>
      <left style="medium">
        <color rgb="FFE6E6E6"/>
      </left>
      <right/>
      <top style="medium">
        <color rgb="FFE6E6E6"/>
      </top>
      <bottom style="medium">
        <color rgb="FFE6E6E6"/>
      </bottom>
      <diagonal/>
    </border>
  </borders>
  <cellStyleXfs count="5">
    <xf numFmtId="0" fontId="0" fillId="0" borderId="0"/>
    <xf numFmtId="0" fontId="1" fillId="0" borderId="1" applyNumberFormat="0" applyFill="0" applyAlignment="0" applyProtection="0"/>
    <xf numFmtId="0" fontId="2" fillId="2" borderId="0" applyNumberFormat="0" applyBorder="0" applyAlignment="0" applyProtection="0"/>
    <xf numFmtId="0" fontId="3" fillId="0" borderId="0" applyNumberFormat="0" applyFill="0" applyBorder="0" applyAlignment="0" applyProtection="0"/>
    <xf numFmtId="0" fontId="12" fillId="0" borderId="3" applyNumberFormat="0" applyFill="0" applyAlignment="0" applyProtection="0"/>
  </cellStyleXfs>
  <cellXfs count="66">
    <xf numFmtId="0" fontId="0" fillId="0" borderId="0" xfId="0"/>
    <xf numFmtId="0" fontId="0" fillId="3" borderId="0" xfId="0" applyFill="1"/>
    <xf numFmtId="0" fontId="4" fillId="3" borderId="0" xfId="0" applyFont="1" applyFill="1"/>
    <xf numFmtId="0" fontId="0" fillId="3" borderId="2" xfId="0" applyFill="1" applyBorder="1"/>
    <xf numFmtId="10" fontId="0" fillId="0" borderId="0" xfId="0" applyNumberFormat="1"/>
    <xf numFmtId="9" fontId="0" fillId="0" borderId="0" xfId="0" applyNumberFormat="1"/>
    <xf numFmtId="0" fontId="5" fillId="0" borderId="0" xfId="0" applyFont="1" applyAlignment="1">
      <alignment vertical="center"/>
    </xf>
    <xf numFmtId="0" fontId="2" fillId="2" borderId="0" xfId="2"/>
    <xf numFmtId="0" fontId="1" fillId="0" borderId="1" xfId="1"/>
    <xf numFmtId="0" fontId="7" fillId="0" borderId="0" xfId="0" applyFont="1" applyAlignment="1">
      <alignment vertical="center"/>
    </xf>
    <xf numFmtId="2" fontId="0" fillId="0" borderId="0" xfId="0" applyNumberFormat="1"/>
    <xf numFmtId="14" fontId="0" fillId="0" borderId="0" xfId="0" applyNumberFormat="1"/>
    <xf numFmtId="49" fontId="0" fillId="0" borderId="0" xfId="0" applyNumberFormat="1"/>
    <xf numFmtId="0" fontId="1" fillId="4" borderId="1" xfId="1" applyFill="1"/>
    <xf numFmtId="0" fontId="0" fillId="4" borderId="0" xfId="0" applyFill="1"/>
    <xf numFmtId="0" fontId="9" fillId="4" borderId="0" xfId="0" applyFont="1" applyFill="1" applyAlignment="1">
      <alignment horizontal="right"/>
    </xf>
    <xf numFmtId="2" fontId="0" fillId="4" borderId="0" xfId="0" applyNumberFormat="1" applyFill="1"/>
    <xf numFmtId="164" fontId="0" fillId="4" borderId="0" xfId="0" applyNumberFormat="1" applyFill="1"/>
    <xf numFmtId="0" fontId="8" fillId="0" borderId="0" xfId="0" applyFont="1"/>
    <xf numFmtId="165" fontId="0" fillId="0" borderId="0" xfId="0" applyNumberFormat="1"/>
    <xf numFmtId="0" fontId="0" fillId="5" borderId="0" xfId="0" applyFill="1"/>
    <xf numFmtId="0" fontId="0" fillId="6" borderId="0" xfId="0" applyFill="1"/>
    <xf numFmtId="0" fontId="0" fillId="7" borderId="0" xfId="0" applyFill="1"/>
    <xf numFmtId="0" fontId="3" fillId="0" borderId="0" xfId="3"/>
    <xf numFmtId="0" fontId="10" fillId="0" borderId="0" xfId="3" applyFont="1"/>
    <xf numFmtId="0" fontId="11" fillId="0" borderId="0" xfId="0" applyFont="1"/>
    <xf numFmtId="15" fontId="0" fillId="0" borderId="0" xfId="0" applyNumberFormat="1"/>
    <xf numFmtId="0" fontId="14" fillId="8" borderId="4" xfId="0" applyFont="1" applyFill="1" applyBorder="1" applyAlignment="1">
      <alignment horizontal="center" vertical="center" wrapText="1"/>
    </xf>
    <xf numFmtId="0" fontId="13" fillId="0" borderId="4" xfId="0" applyFont="1" applyBorder="1" applyAlignment="1">
      <alignment vertical="center" wrapText="1"/>
    </xf>
    <xf numFmtId="0" fontId="0" fillId="0" borderId="0" xfId="0" applyAlignment="1">
      <alignment vertical="center"/>
    </xf>
    <xf numFmtId="0" fontId="0" fillId="10" borderId="0" xfId="0" applyFill="1"/>
    <xf numFmtId="0" fontId="0" fillId="11" borderId="0" xfId="0" applyFill="1"/>
    <xf numFmtId="0" fontId="0" fillId="0" borderId="5" xfId="0" applyBorder="1"/>
    <xf numFmtId="0" fontId="0" fillId="0" borderId="6" xfId="0" applyBorder="1"/>
    <xf numFmtId="0" fontId="0" fillId="0" borderId="7" xfId="0" applyBorder="1"/>
    <xf numFmtId="0" fontId="0" fillId="0" borderId="2" xfId="0" applyBorder="1"/>
    <xf numFmtId="0" fontId="0" fillId="0" borderId="8" xfId="0" applyBorder="1"/>
    <xf numFmtId="0" fontId="12" fillId="0" borderId="3" xfId="4"/>
    <xf numFmtId="0" fontId="12" fillId="0" borderId="9" xfId="4" applyBorder="1"/>
    <xf numFmtId="0" fontId="12" fillId="0" borderId="10" xfId="4" applyBorder="1"/>
    <xf numFmtId="0" fontId="12" fillId="0" borderId="11" xfId="4" applyBorder="1"/>
    <xf numFmtId="0" fontId="1" fillId="0" borderId="13" xfId="1" applyBorder="1"/>
    <xf numFmtId="0" fontId="0" fillId="6" borderId="12" xfId="0" applyFill="1" applyBorder="1"/>
    <xf numFmtId="0" fontId="12" fillId="0" borderId="14" xfId="4" applyBorder="1"/>
    <xf numFmtId="0" fontId="0" fillId="0" borderId="12" xfId="0" applyBorder="1"/>
    <xf numFmtId="0" fontId="0" fillId="0" borderId="0" xfId="0" applyAlignment="1">
      <alignment wrapText="1"/>
    </xf>
    <xf numFmtId="0" fontId="15" fillId="0" borderId="0" xfId="0" applyFont="1"/>
    <xf numFmtId="0" fontId="16" fillId="0" borderId="0" xfId="0" applyFont="1"/>
    <xf numFmtId="0" fontId="17" fillId="0" borderId="0" xfId="0" applyFont="1"/>
    <xf numFmtId="0" fontId="18" fillId="0" borderId="0" xfId="3" applyFont="1"/>
    <xf numFmtId="0" fontId="19" fillId="0" borderId="0" xfId="0" applyFont="1"/>
    <xf numFmtId="0" fontId="20" fillId="0" borderId="0" xfId="0" applyFont="1" applyAlignment="1">
      <alignment vertical="center"/>
    </xf>
    <xf numFmtId="0" fontId="21" fillId="0" borderId="0" xfId="0" applyFont="1" applyAlignment="1">
      <alignment vertical="center"/>
    </xf>
    <xf numFmtId="0" fontId="19" fillId="0" borderId="0" xfId="0" applyFont="1" applyAlignment="1">
      <alignment horizontal="left" vertical="center" indent="1"/>
    </xf>
    <xf numFmtId="0" fontId="20" fillId="9" borderId="0" xfId="0" applyFont="1" applyFill="1" applyAlignment="1">
      <alignment vertical="center"/>
    </xf>
    <xf numFmtId="0" fontId="19" fillId="9" borderId="0" xfId="0" applyFont="1" applyFill="1"/>
    <xf numFmtId="0" fontId="19" fillId="10" borderId="0" xfId="0" applyFont="1" applyFill="1"/>
    <xf numFmtId="0" fontId="20" fillId="10" borderId="0" xfId="0" applyFont="1" applyFill="1" applyAlignment="1">
      <alignment vertical="center"/>
    </xf>
    <xf numFmtId="0" fontId="21" fillId="9" borderId="0" xfId="0" applyFont="1" applyFill="1" applyAlignment="1">
      <alignment vertical="center"/>
    </xf>
    <xf numFmtId="0" fontId="21" fillId="10" borderId="0" xfId="0" applyFont="1" applyFill="1" applyAlignment="1">
      <alignment vertical="center"/>
    </xf>
    <xf numFmtId="0" fontId="13" fillId="0" borderId="4" xfId="0" applyFont="1" applyBorder="1" applyAlignment="1">
      <alignment vertical="center"/>
    </xf>
    <xf numFmtId="0" fontId="13" fillId="0" borderId="15" xfId="0" applyFont="1" applyBorder="1" applyAlignment="1">
      <alignment vertical="center"/>
    </xf>
    <xf numFmtId="14" fontId="13" fillId="0" borderId="16" xfId="0" applyNumberFormat="1" applyFont="1" applyBorder="1" applyAlignment="1">
      <alignment vertical="center"/>
    </xf>
    <xf numFmtId="0" fontId="13" fillId="0" borderId="17" xfId="0" applyFont="1" applyBorder="1" applyAlignment="1">
      <alignment vertical="center"/>
    </xf>
    <xf numFmtId="8" fontId="0" fillId="0" borderId="0" xfId="0" applyNumberFormat="1"/>
    <xf numFmtId="0" fontId="6" fillId="2" borderId="0" xfId="2" applyFont="1" applyAlignment="1">
      <alignment horizontal="center"/>
    </xf>
  </cellXfs>
  <cellStyles count="5">
    <cellStyle name="Accent1" xfId="2" builtinId="29"/>
    <cellStyle name="Heading 1" xfId="1" builtinId="16"/>
    <cellStyle name="Heading 2" xfId="4" builtinId="17"/>
    <cellStyle name="Hyperlink" xfId="3" builtinId="8"/>
    <cellStyle name="Normal" xfId="0" builtinId="0"/>
  </cellStyles>
  <dxfs count="10">
    <dxf>
      <font>
        <color rgb="FF9C0006"/>
      </font>
      <fill>
        <patternFill>
          <bgColor rgb="FFFFC7CE"/>
        </patternFill>
      </fill>
    </dxf>
    <dxf>
      <numFmt numFmtId="30" formatCode="@"/>
    </dxf>
    <dxf>
      <numFmt numFmtId="30" formatCode="@"/>
    </dxf>
    <dxf>
      <font>
        <b val="0"/>
        <i val="0"/>
        <strike val="0"/>
        <condense val="0"/>
        <extend val="0"/>
        <outline val="0"/>
        <shadow val="0"/>
        <u val="none"/>
        <vertAlign val="baseline"/>
        <sz val="11"/>
        <color theme="1"/>
        <name val="Segoe UI"/>
        <family val="2"/>
        <scheme val="none"/>
      </font>
      <alignment horizontal="general" vertical="center" textRotation="0" wrapText="0" indent="0" justifyLastLine="0" shrinkToFit="0" readingOrder="0"/>
      <border diagonalUp="0" diagonalDown="0">
        <left style="medium">
          <color rgb="FFE6E6E6"/>
        </left>
        <right/>
        <top style="medium">
          <color rgb="FFE6E6E6"/>
        </top>
        <bottom style="medium">
          <color rgb="FFE6E6E6"/>
        </bottom>
        <vertical/>
        <horizontal/>
      </border>
    </dxf>
    <dxf>
      <font>
        <b val="0"/>
        <i val="0"/>
        <strike val="0"/>
        <condense val="0"/>
        <extend val="0"/>
        <outline val="0"/>
        <shadow val="0"/>
        <u val="none"/>
        <vertAlign val="baseline"/>
        <sz val="11"/>
        <color theme="1"/>
        <name val="Segoe U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medium">
          <color rgb="FFE6E6E6"/>
        </left>
        <right style="medium">
          <color rgb="FFE6E6E6"/>
        </right>
        <top/>
        <bottom/>
        <vertical/>
        <horizontal/>
      </border>
    </dxf>
    <dxf>
      <font>
        <b val="0"/>
        <i val="0"/>
        <strike val="0"/>
        <condense val="0"/>
        <extend val="0"/>
        <outline val="0"/>
        <shadow val="0"/>
        <u val="none"/>
        <vertAlign val="baseline"/>
        <sz val="11"/>
        <color theme="1"/>
        <name val="Segoe UI"/>
        <family val="2"/>
        <scheme val="none"/>
      </font>
      <alignment horizontal="general" vertical="center" textRotation="0" wrapText="0" indent="0" justifyLastLine="0" shrinkToFit="0" readingOrder="0"/>
      <border diagonalUp="0" diagonalDown="0">
        <left style="medium">
          <color rgb="FFE6E6E6"/>
        </left>
        <right style="medium">
          <color rgb="FFE6E6E6"/>
        </right>
        <top style="medium">
          <color rgb="FFE6E6E6"/>
        </top>
        <bottom style="medium">
          <color rgb="FFE6E6E6"/>
        </bottom>
        <vertical/>
        <horizontal/>
      </border>
    </dxf>
    <dxf>
      <font>
        <b val="0"/>
        <i val="0"/>
        <strike val="0"/>
        <condense val="0"/>
        <extend val="0"/>
        <outline val="0"/>
        <shadow val="0"/>
        <u val="none"/>
        <vertAlign val="baseline"/>
        <sz val="11"/>
        <color theme="1"/>
        <name val="Segoe UI"/>
        <family val="2"/>
        <scheme val="none"/>
      </font>
      <alignment horizontal="general" vertical="center" textRotation="0" wrapText="0" indent="0" justifyLastLine="0" shrinkToFit="0" readingOrder="0"/>
      <border diagonalUp="0" diagonalDown="0">
        <left style="medium">
          <color rgb="FFE6E6E6"/>
        </left>
        <right style="medium">
          <color rgb="FFE6E6E6"/>
        </right>
        <top style="medium">
          <color rgb="FFE6E6E6"/>
        </top>
        <bottom style="medium">
          <color rgb="FFE6E6E6"/>
        </bottom>
        <vertical/>
        <horizontal/>
      </border>
    </dxf>
    <dxf>
      <font>
        <b val="0"/>
        <i val="0"/>
        <strike val="0"/>
        <condense val="0"/>
        <extend val="0"/>
        <outline val="0"/>
        <shadow val="0"/>
        <u val="none"/>
        <vertAlign val="baseline"/>
        <sz val="11"/>
        <color theme="1"/>
        <name val="Segoe UI"/>
        <family val="2"/>
        <scheme val="none"/>
      </font>
      <numFmt numFmtId="19" formatCode="dd/mm/yyyy"/>
      <alignment horizontal="general" vertical="center" textRotation="0" wrapText="0" indent="0" justifyLastLine="0" shrinkToFit="0" readingOrder="0"/>
      <border diagonalUp="0" diagonalDown="0">
        <left/>
        <right style="medium">
          <color rgb="FFE6E6E6"/>
        </right>
        <top style="medium">
          <color rgb="FFE6E6E6"/>
        </top>
        <bottom style="medium">
          <color rgb="FFE6E6E6"/>
        </bottom>
        <vertical/>
        <horizontal/>
      </border>
    </dxf>
    <dxf>
      <border outline="0">
        <left style="medium">
          <color rgb="FFE6E6E6"/>
        </left>
        <right style="medium">
          <color rgb="FFE6E6E6"/>
        </right>
        <top style="medium">
          <color rgb="FFE6E6E6"/>
        </top>
      </border>
    </dxf>
    <dxf>
      <border outline="0">
        <bottom style="medium">
          <color rgb="FFE6E6E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ichStyles" Target="richData/richStyles.xml"/><Relationship Id="rId27" Type="http://schemas.openxmlformats.org/officeDocument/2006/relationships/customXml" Target="../customXml/item1.xml"/><Relationship Id="rId30" Type="http://schemas.microsoft.com/office/2023/09/relationships/Python" Target="pyth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6</xdr:col>
      <xdr:colOff>361950</xdr:colOff>
      <xdr:row>1</xdr:row>
      <xdr:rowOff>66675</xdr:rowOff>
    </xdr:from>
    <xdr:to>
      <xdr:col>8</xdr:col>
      <xdr:colOff>247650</xdr:colOff>
      <xdr:row>2</xdr:row>
      <xdr:rowOff>113638</xdr:rowOff>
    </xdr:to>
    <xdr:pic>
      <xdr:nvPicPr>
        <xdr:cNvPr id="6" name="Image 5">
          <a:extLst>
            <a:ext uri="{FF2B5EF4-FFF2-40B4-BE49-F238E27FC236}">
              <a16:creationId xmlns:a16="http://schemas.microsoft.com/office/drawing/2014/main" id="{68DB6A68-EF43-47ED-B3AB-FA0B6367A8A6}"/>
            </a:ext>
          </a:extLst>
        </xdr:cNvPr>
        <xdr:cNvPicPr>
          <a:picLocks noChangeAspect="1"/>
        </xdr:cNvPicPr>
      </xdr:nvPicPr>
      <xdr:blipFill>
        <a:blip xmlns:r="http://schemas.openxmlformats.org/officeDocument/2006/relationships" r:embed="rId1"/>
        <a:stretch>
          <a:fillRect/>
        </a:stretch>
      </xdr:blipFill>
      <xdr:spPr>
        <a:xfrm>
          <a:off x="4933950" y="257175"/>
          <a:ext cx="1409700" cy="856588"/>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twoCellAnchor>
    <xdr:from>
      <xdr:col>0</xdr:col>
      <xdr:colOff>243865</xdr:colOff>
      <xdr:row>3</xdr:row>
      <xdr:rowOff>93423</xdr:rowOff>
    </xdr:from>
    <xdr:to>
      <xdr:col>7</xdr:col>
      <xdr:colOff>663044</xdr:colOff>
      <xdr:row>22</xdr:row>
      <xdr:rowOff>0</xdr:rowOff>
    </xdr:to>
    <xdr:sp macro="" textlink="">
      <xdr:nvSpPr>
        <xdr:cNvPr id="2" name="TextBox 1">
          <a:extLst>
            <a:ext uri="{FF2B5EF4-FFF2-40B4-BE49-F238E27FC236}">
              <a16:creationId xmlns:a16="http://schemas.microsoft.com/office/drawing/2014/main" id="{3060BAAD-35CE-D7AD-1B60-AD6D0864F8B0}"/>
            </a:ext>
          </a:extLst>
        </xdr:cNvPr>
        <xdr:cNvSpPr txBox="1"/>
      </xdr:nvSpPr>
      <xdr:spPr>
        <a:xfrm>
          <a:off x="243865" y="1267738"/>
          <a:ext cx="7517261" cy="439507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2000"/>
            <a:t>Python in Excel runs on an Azure engine that creates a temporary environment.</a:t>
          </a:r>
          <a:br>
            <a:rPr lang="fr-FR" sz="2000"/>
          </a:br>
          <a:r>
            <a:rPr lang="fr-FR" sz="2000"/>
            <a:t>This engine automatically shuts off if:</a:t>
          </a:r>
        </a:p>
        <a:p>
          <a:r>
            <a:rPr lang="fr-FR" sz="2000"/>
            <a:t> - we leave Excel inactive</a:t>
          </a:r>
        </a:p>
        <a:p>
          <a:r>
            <a:rPr lang="fr-FR" sz="2000"/>
            <a:t>- the internet connection fluctuates</a:t>
          </a:r>
        </a:p>
        <a:p>
          <a:r>
            <a:rPr lang="fr-FR" sz="2000"/>
            <a:t> - Excel exits the "code editing" mode</a:t>
          </a:r>
        </a:p>
        <a:p>
          <a:r>
            <a:rPr lang="fr-FR" sz="2000"/>
            <a:t> - we fail an execution several times in a row</a:t>
          </a:r>
        </a:p>
        <a:p>
          <a:r>
            <a:rPr lang="fr-FR" sz="2000"/>
            <a:t> - The Azure environment reboots. </a:t>
          </a:r>
          <a:br>
            <a:rPr lang="fr-FR" sz="2000"/>
          </a:br>
          <a:endParaRPr lang="fr-FR" sz="2000"/>
        </a:p>
        <a:p>
          <a:r>
            <a:rPr lang="fr-FR" sz="2000"/>
            <a:t>Excel tells you: 'Your session may have expired'.</a:t>
          </a:r>
          <a:br>
            <a:rPr lang="fr-FR" sz="2000"/>
          </a:br>
          <a:r>
            <a:rPr lang="fr-FR" sz="2000"/>
            <a:t>This is not a serious error: it just means that you have to restart the code, or reopen the file for Excel to recreate a Python session. You can simply 'Reset Run Time' by right-clicking on the error message.</a:t>
          </a:r>
        </a:p>
      </xdr:txBody>
    </xdr:sp>
    <xdr:clientData/>
  </xdr:twoCellAnchor>
  <xdr:oneCellAnchor>
    <xdr:from>
      <xdr:col>15</xdr:col>
      <xdr:colOff>275912</xdr:colOff>
      <xdr:row>7</xdr:row>
      <xdr:rowOff>128574</xdr:rowOff>
    </xdr:from>
    <xdr:ext cx="8774646" cy="1595052"/>
    <xdr:sp macro="" textlink="">
      <xdr:nvSpPr>
        <xdr:cNvPr id="4" name="Rectangle 3">
          <a:extLst>
            <a:ext uri="{FF2B5EF4-FFF2-40B4-BE49-F238E27FC236}">
              <a16:creationId xmlns:a16="http://schemas.microsoft.com/office/drawing/2014/main" id="{02CDBB0B-65A6-4105-9B07-63BC6C2B551B}"/>
            </a:ext>
          </a:extLst>
        </xdr:cNvPr>
        <xdr:cNvSpPr/>
      </xdr:nvSpPr>
      <xdr:spPr>
        <a:xfrm>
          <a:off x="13819679" y="2137958"/>
          <a:ext cx="8774646" cy="1595052"/>
        </a:xfrm>
        <a:prstGeom prst="rect">
          <a:avLst/>
        </a:prstGeom>
        <a:noFill/>
      </xdr:spPr>
      <xdr:txBody>
        <a:bodyPr wrap="none" lIns="91440" tIns="45720" rIns="91440" bIns="45720">
          <a:spAutoFit/>
        </a:bodyPr>
        <a:lstStyle/>
        <a:p>
          <a:pPr algn="ctr"/>
          <a:r>
            <a:rPr lang="fr-FR" sz="3200" b="1" cap="none" spc="0">
              <a:ln w="6600">
                <a:solidFill>
                  <a:schemeClr val="accent2"/>
                </a:solidFill>
                <a:prstDash val="solid"/>
              </a:ln>
              <a:solidFill>
                <a:srgbClr val="FFFFFF"/>
              </a:solidFill>
              <a:effectLst>
                <a:outerShdw dist="38100" dir="2700000" algn="tl" rotWithShape="0">
                  <a:schemeClr val="accent2"/>
                </a:outerShdw>
              </a:effectLst>
            </a:rPr>
            <a:t>We store the data in a table (DataFrame), </a:t>
          </a:r>
        </a:p>
        <a:p>
          <a:pPr algn="ctr"/>
          <a:r>
            <a:rPr lang="fr-FR" sz="3200" b="1" cap="none" spc="0">
              <a:ln w="6600">
                <a:solidFill>
                  <a:schemeClr val="accent2"/>
                </a:solidFill>
                <a:prstDash val="solid"/>
              </a:ln>
              <a:solidFill>
                <a:srgbClr val="FFFFFF"/>
              </a:solidFill>
              <a:effectLst>
                <a:outerShdw dist="38100" dir="2700000" algn="tl" rotWithShape="0">
                  <a:schemeClr val="accent2"/>
                </a:outerShdw>
              </a:effectLst>
            </a:rPr>
            <a:t>We work on columns(Series), </a:t>
          </a:r>
        </a:p>
        <a:p>
          <a:pPr algn="ctr"/>
          <a:r>
            <a:rPr lang="fr-FR" sz="3200" b="1" cap="none" spc="0">
              <a:ln w="6600">
                <a:solidFill>
                  <a:schemeClr val="accent2"/>
                </a:solidFill>
                <a:prstDash val="solid"/>
              </a:ln>
              <a:solidFill>
                <a:srgbClr val="FFFFFF"/>
              </a:solidFill>
              <a:effectLst>
                <a:outerShdw dist="38100" dir="2700000" algn="tl" rotWithShape="0">
                  <a:schemeClr val="accent2"/>
                </a:outerShdw>
              </a:effectLst>
            </a:rPr>
            <a:t>and we trace them with plots (Matplotlib/Seaborn).</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209550</xdr:colOff>
      <xdr:row>0</xdr:row>
      <xdr:rowOff>104776</xdr:rowOff>
    </xdr:from>
    <xdr:to>
      <xdr:col>21</xdr:col>
      <xdr:colOff>723899</xdr:colOff>
      <xdr:row>2</xdr:row>
      <xdr:rowOff>104775</xdr:rowOff>
    </xdr:to>
    <xdr:sp macro="" textlink="">
      <xdr:nvSpPr>
        <xdr:cNvPr id="2" name="ZoneTexte 1">
          <a:extLst>
            <a:ext uri="{FF2B5EF4-FFF2-40B4-BE49-F238E27FC236}">
              <a16:creationId xmlns:a16="http://schemas.microsoft.com/office/drawing/2014/main" id="{2CFC14BA-170A-BE94-1F23-89CA20013F10}"/>
            </a:ext>
          </a:extLst>
        </xdr:cNvPr>
        <xdr:cNvSpPr txBox="1"/>
      </xdr:nvSpPr>
      <xdr:spPr>
        <a:xfrm>
          <a:off x="4781550" y="104776"/>
          <a:ext cx="11944349" cy="1000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j-lt"/>
              <a:ea typeface="+mn-ea"/>
              <a:cs typeface="+mn-cs"/>
            </a:rPr>
            <a:t>Use the</a:t>
          </a:r>
          <a:r>
            <a:rPr lang="en-US" sz="1400" b="1" i="0">
              <a:solidFill>
                <a:schemeClr val="dk1"/>
              </a:solidFill>
              <a:effectLst/>
              <a:latin typeface="+mj-lt"/>
              <a:ea typeface="+mn-ea"/>
              <a:cs typeface="+mn-cs"/>
            </a:rPr>
            <a:t> Excel function =PY(...)</a:t>
          </a:r>
          <a:r>
            <a:rPr lang="en-US" sz="1400" b="0" i="0">
              <a:solidFill>
                <a:schemeClr val="dk1"/>
              </a:solidFill>
              <a:effectLst/>
              <a:latin typeface="+mj-lt"/>
              <a:ea typeface="+mn-ea"/>
              <a:cs typeface="+mn-cs"/>
            </a:rPr>
            <a:t> to enter Python code in a cell. the cell will display the </a:t>
          </a:r>
          <a:r>
            <a:rPr lang="en-US" sz="1400" b="1" i="0">
              <a:solidFill>
                <a:schemeClr val="dk1"/>
              </a:solidFill>
              <a:effectLst/>
              <a:latin typeface="+mj-lt"/>
              <a:ea typeface="+mn-ea"/>
              <a:cs typeface="+mn-cs"/>
            </a:rPr>
            <a:t>PY</a:t>
          </a:r>
          <a:r>
            <a:rPr lang="en-US" sz="1400" b="0" i="0">
              <a:solidFill>
                <a:schemeClr val="dk1"/>
              </a:solidFill>
              <a:effectLst/>
              <a:latin typeface="+mj-lt"/>
              <a:ea typeface="+mn-ea"/>
              <a:cs typeface="+mn-cs"/>
            </a:rPr>
            <a:t> icon and you can</a:t>
          </a:r>
          <a:r>
            <a:rPr lang="en-US" sz="1400" b="0" i="0" baseline="0">
              <a:solidFill>
                <a:schemeClr val="dk1"/>
              </a:solidFill>
              <a:effectLst/>
              <a:latin typeface="+mj-lt"/>
              <a:ea typeface="+mn-ea"/>
              <a:cs typeface="+mn-cs"/>
            </a:rPr>
            <a:t> edit the code within the formula bar</a:t>
          </a:r>
          <a:r>
            <a:rPr lang="en-US" sz="1400" b="0" i="0">
              <a:solidFill>
                <a:schemeClr val="dk1"/>
              </a:solidFill>
              <a:effectLst/>
              <a:latin typeface="+mj-lt"/>
              <a:ea typeface="+mn-ea"/>
              <a:cs typeface="+mn-cs"/>
            </a:rPr>
            <a:t> (avec retour à la ligne, etc.).</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a:solidFill>
              <a:schemeClr val="dk1"/>
            </a:solidFill>
            <a:effectLst/>
            <a:latin typeface="+mj-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j-lt"/>
              <a:ea typeface="+mn-ea"/>
              <a:cs typeface="+mn-cs"/>
            </a:rPr>
            <a:t>=PY() is an </a:t>
          </a:r>
          <a:r>
            <a:rPr lang="en-US" sz="1400" b="1" i="0">
              <a:solidFill>
                <a:schemeClr val="dk1"/>
              </a:solidFill>
              <a:effectLst/>
              <a:latin typeface="+mj-lt"/>
              <a:ea typeface="+mn-ea"/>
              <a:cs typeface="+mn-cs"/>
            </a:rPr>
            <a:t>Excel function</a:t>
          </a:r>
          <a:r>
            <a:rPr lang="en-US" sz="1400" b="0" i="0">
              <a:solidFill>
                <a:schemeClr val="dk1"/>
              </a:solidFill>
              <a:effectLst/>
              <a:latin typeface="+mj-lt"/>
              <a:ea typeface="+mn-ea"/>
              <a:cs typeface="+mn-cs"/>
            </a:rPr>
            <a:t>, not Python. It “hosts” your Python code in</a:t>
          </a:r>
          <a:r>
            <a:rPr lang="en-US" sz="1400" b="0" i="0" baseline="0">
              <a:solidFill>
                <a:schemeClr val="dk1"/>
              </a:solidFill>
              <a:effectLst/>
              <a:latin typeface="+mj-lt"/>
              <a:ea typeface="+mn-ea"/>
              <a:cs typeface="+mn-cs"/>
            </a:rPr>
            <a:t> the active cell</a:t>
          </a:r>
          <a:r>
            <a:rPr lang="en-US" sz="1400" b="0" i="0">
              <a:solidFill>
                <a:schemeClr val="dk1"/>
              </a:solidFill>
              <a:effectLst/>
              <a:latin typeface="+mj-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j-lt"/>
              <a:ea typeface="+mn-ea"/>
              <a:cs typeface="+mn-cs"/>
            </a:rPr>
            <a:t>keyboard</a:t>
          </a:r>
          <a:r>
            <a:rPr lang="en-US" sz="1400" b="0" i="0" baseline="0">
              <a:solidFill>
                <a:schemeClr val="dk1"/>
              </a:solidFill>
              <a:effectLst/>
              <a:latin typeface="+mj-lt"/>
              <a:ea typeface="+mn-ea"/>
              <a:cs typeface="+mn-cs"/>
            </a:rPr>
            <a:t> shortcut: </a:t>
          </a:r>
          <a:r>
            <a:rPr lang="en-US" sz="1400" b="1" i="0" baseline="0">
              <a:solidFill>
                <a:schemeClr val="dk1"/>
              </a:solidFill>
              <a:effectLst/>
              <a:latin typeface="+mj-lt"/>
              <a:ea typeface="+mn-ea"/>
              <a:cs typeface="+mn-cs"/>
            </a:rPr>
            <a:t>CTRl+ALT+SHIFT+P</a:t>
          </a:r>
          <a:endParaRPr lang="en-US" sz="1400" b="1" i="0">
            <a:solidFill>
              <a:schemeClr val="dk1"/>
            </a:solidFill>
            <a:effectLst/>
            <a:latin typeface="+mj-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a:solidFill>
              <a:schemeClr val="dk1"/>
            </a:solidFill>
            <a:effectLst/>
            <a:latin typeface="+mj-lt"/>
            <a:ea typeface="+mn-ea"/>
            <a:cs typeface="+mn-cs"/>
          </a:endParaRPr>
        </a:p>
        <a:p>
          <a:endParaRPr lang="en-US" sz="1400">
            <a:latin typeface="+mj-lt"/>
          </a:endParaRPr>
        </a:p>
      </xdr:txBody>
    </xdr:sp>
    <xdr:clientData/>
  </xdr:twoCellAnchor>
  <xdr:twoCellAnchor>
    <xdr:from>
      <xdr:col>6</xdr:col>
      <xdr:colOff>28575</xdr:colOff>
      <xdr:row>4</xdr:row>
      <xdr:rowOff>0</xdr:rowOff>
    </xdr:from>
    <xdr:to>
      <xdr:col>9</xdr:col>
      <xdr:colOff>752475</xdr:colOff>
      <xdr:row>23</xdr:row>
      <xdr:rowOff>95250</xdr:rowOff>
    </xdr:to>
    <xdr:sp macro="" textlink="">
      <xdr:nvSpPr>
        <xdr:cNvPr id="4" name="ZoneTexte 3">
          <a:extLst>
            <a:ext uri="{FF2B5EF4-FFF2-40B4-BE49-F238E27FC236}">
              <a16:creationId xmlns:a16="http://schemas.microsoft.com/office/drawing/2014/main" id="{1456D7C1-D143-6F4A-1278-9BC01096EDFA}"/>
            </a:ext>
          </a:extLst>
        </xdr:cNvPr>
        <xdr:cNvSpPr txBox="1"/>
      </xdr:nvSpPr>
      <xdr:spPr>
        <a:xfrm>
          <a:off x="4600575" y="1771650"/>
          <a:ext cx="3009900" cy="41719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r>
            <a:rPr lang="en-US" sz="1400"/>
            <a:t># </a:t>
          </a:r>
          <a:r>
            <a:rPr lang="en-US" sz="1400" b="0">
              <a:solidFill>
                <a:sysClr val="windowText" lastClr="000000"/>
              </a:solidFill>
              <a:latin typeface="+mn-lt"/>
              <a:ea typeface="+mn-ea"/>
              <a:cs typeface="+mn-cs"/>
            </a:rPr>
            <a:t>Cell</a:t>
          </a:r>
        </a:p>
        <a:p>
          <a:pPr>
            <a:buNone/>
          </a:pPr>
          <a:r>
            <a:rPr lang="en-US" sz="1400" b="1">
              <a:solidFill>
                <a:schemeClr val="accent6"/>
              </a:solidFill>
            </a:rPr>
            <a:t>xl</a:t>
          </a:r>
          <a:r>
            <a:rPr lang="en-US" sz="1400"/>
            <a:t>("</a:t>
          </a:r>
          <a:r>
            <a:rPr lang="en-US" sz="1400">
              <a:solidFill>
                <a:srgbClr val="C00000"/>
              </a:solidFill>
            </a:rPr>
            <a:t>A1</a:t>
          </a:r>
          <a:r>
            <a:rPr lang="en-US" sz="1400"/>
            <a:t>")</a:t>
          </a:r>
        </a:p>
        <a:p>
          <a:pPr>
            <a:buNone/>
          </a:pPr>
          <a:endParaRPr lang="en-US" sz="1400"/>
        </a:p>
        <a:p>
          <a:pPr>
            <a:buNone/>
          </a:pPr>
          <a:r>
            <a:rPr lang="en-US" sz="1400"/>
            <a:t># Range</a:t>
          </a:r>
        </a:p>
        <a:p>
          <a:pPr>
            <a:buNone/>
          </a:pPr>
          <a:r>
            <a:rPr lang="en-US" sz="1400" b="1">
              <a:solidFill>
                <a:schemeClr val="accent6"/>
              </a:solidFill>
              <a:latin typeface="+mn-lt"/>
              <a:ea typeface="+mn-ea"/>
              <a:cs typeface="+mn-cs"/>
            </a:rPr>
            <a:t>xl</a:t>
          </a:r>
          <a:r>
            <a:rPr lang="en-US" sz="1400"/>
            <a:t>("</a:t>
          </a:r>
          <a:r>
            <a:rPr lang="en-US" sz="1400">
              <a:solidFill>
                <a:srgbClr val="C00000"/>
              </a:solidFill>
            </a:rPr>
            <a:t>B2:C10</a:t>
          </a:r>
          <a:r>
            <a:rPr lang="en-US" sz="1400"/>
            <a:t>")</a:t>
          </a:r>
        </a:p>
        <a:p>
          <a:pPr>
            <a:buNone/>
          </a:pPr>
          <a:endParaRPr lang="en-US" sz="1400"/>
        </a:p>
        <a:p>
          <a:pPr>
            <a:buNone/>
          </a:pPr>
          <a:r>
            <a:rPr lang="en-US" sz="1400"/>
            <a:t># Range in a specified sheet</a:t>
          </a:r>
        </a:p>
        <a:p>
          <a:pPr>
            <a:buNone/>
          </a:pPr>
          <a:r>
            <a:rPr lang="en-US" sz="1400" b="1">
              <a:solidFill>
                <a:schemeClr val="accent6"/>
              </a:solidFill>
              <a:latin typeface="+mn-lt"/>
              <a:ea typeface="+mn-ea"/>
              <a:cs typeface="+mn-cs"/>
            </a:rPr>
            <a:t>xl</a:t>
          </a:r>
          <a:r>
            <a:rPr lang="en-US" sz="1400"/>
            <a:t>("</a:t>
          </a:r>
          <a:r>
            <a:rPr lang="en-US" sz="1400">
              <a:solidFill>
                <a:srgbClr val="C00000"/>
              </a:solidFill>
            </a:rPr>
            <a:t>Sheet1!A1:C5</a:t>
          </a:r>
          <a:r>
            <a:rPr lang="en-US" sz="1400"/>
            <a:t>")</a:t>
          </a:r>
        </a:p>
        <a:p>
          <a:pPr>
            <a:buNone/>
          </a:pPr>
          <a:endParaRPr lang="en-US" sz="1400"/>
        </a:p>
        <a:p>
          <a:pPr>
            <a:buNone/>
          </a:pPr>
          <a:r>
            <a:rPr lang="en-US" sz="1400"/>
            <a:t># Defined</a:t>
          </a:r>
          <a:r>
            <a:rPr lang="en-US" sz="1400" baseline="0"/>
            <a:t> Name</a:t>
          </a:r>
          <a:endParaRPr lang="en-US" sz="1400"/>
        </a:p>
        <a:p>
          <a:pPr>
            <a:buNone/>
          </a:pPr>
          <a:r>
            <a:rPr lang="en-US" sz="1400" b="1">
              <a:solidFill>
                <a:schemeClr val="accent6"/>
              </a:solidFill>
              <a:latin typeface="+mn-lt"/>
              <a:ea typeface="+mn-ea"/>
              <a:cs typeface="+mn-cs"/>
            </a:rPr>
            <a:t>xl</a:t>
          </a:r>
          <a:r>
            <a:rPr lang="en-US" sz="1400"/>
            <a:t>("</a:t>
          </a:r>
          <a:r>
            <a:rPr lang="en-US" sz="1400">
              <a:solidFill>
                <a:srgbClr val="C00000"/>
              </a:solidFill>
            </a:rPr>
            <a:t>MyDefinedName</a:t>
          </a:r>
          <a:r>
            <a:rPr lang="en-US" sz="1400"/>
            <a:t>")</a:t>
          </a:r>
        </a:p>
        <a:p>
          <a:pPr>
            <a:buNone/>
          </a:pPr>
          <a:endParaRPr lang="en-US" sz="1400"/>
        </a:p>
        <a:p>
          <a:r>
            <a:rPr lang="en-US" sz="1400"/>
            <a:t># Table with headers(recommended)</a:t>
          </a:r>
        </a:p>
        <a:p>
          <a:r>
            <a:rPr lang="en-US" sz="1400" b="1">
              <a:solidFill>
                <a:schemeClr val="accent6"/>
              </a:solidFill>
            </a:rPr>
            <a:t>xl</a:t>
          </a:r>
          <a:r>
            <a:rPr lang="en-US" sz="1400"/>
            <a:t>("</a:t>
          </a:r>
          <a:r>
            <a:rPr lang="en-US" sz="1400">
              <a:solidFill>
                <a:srgbClr val="C00000"/>
              </a:solidFill>
            </a:rPr>
            <a:t>MyTable[#All]</a:t>
          </a:r>
          <a:r>
            <a:rPr lang="en-US" sz="1400"/>
            <a:t>", </a:t>
          </a:r>
          <a:r>
            <a:rPr lang="en-US" sz="1400">
              <a:solidFill>
                <a:schemeClr val="accent4"/>
              </a:solidFill>
            </a:rPr>
            <a:t>headers=True</a:t>
          </a:r>
          <a:r>
            <a:rPr lang="en-US" sz="1400"/>
            <a:t>)</a:t>
          </a:r>
        </a:p>
        <a:p>
          <a:pPr>
            <a:buNone/>
          </a:pPr>
          <a:endParaRPr lang="en-US" sz="1400"/>
        </a:p>
        <a:p>
          <a:r>
            <a:rPr lang="en-US" sz="1400" baseline="0"/>
            <a:t>The XL() function returns a Pandas dataframe (=table), not a list.</a:t>
          </a:r>
          <a:endParaRPr lang="en-US" sz="1400"/>
        </a:p>
      </xdr:txBody>
    </xdr:sp>
    <xdr:clientData/>
  </xdr:twoCellAnchor>
  <xdr:twoCellAnchor>
    <xdr:from>
      <xdr:col>10</xdr:col>
      <xdr:colOff>723900</xdr:colOff>
      <xdr:row>3</xdr:row>
      <xdr:rowOff>180975</xdr:rowOff>
    </xdr:from>
    <xdr:to>
      <xdr:col>16</xdr:col>
      <xdr:colOff>180975</xdr:colOff>
      <xdr:row>25</xdr:row>
      <xdr:rowOff>104775</xdr:rowOff>
    </xdr:to>
    <xdr:sp macro="" textlink="">
      <xdr:nvSpPr>
        <xdr:cNvPr id="5" name="ZoneTexte 4">
          <a:extLst>
            <a:ext uri="{FF2B5EF4-FFF2-40B4-BE49-F238E27FC236}">
              <a16:creationId xmlns:a16="http://schemas.microsoft.com/office/drawing/2014/main" id="{B8067A06-1FAE-5298-688E-6BB2EF4EB7FF}"/>
            </a:ext>
          </a:extLst>
        </xdr:cNvPr>
        <xdr:cNvSpPr txBox="1"/>
      </xdr:nvSpPr>
      <xdr:spPr>
        <a:xfrm>
          <a:off x="8343900" y="1381125"/>
          <a:ext cx="4029075" cy="457200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b="0" i="0">
              <a:solidFill>
                <a:schemeClr val="dk1"/>
              </a:solidFill>
              <a:effectLst/>
              <a:latin typeface="+mn-lt"/>
              <a:ea typeface="+mn-ea"/>
              <a:cs typeface="+mn-cs"/>
            </a:rPr>
            <a:t>Python code is executed in an isolated, controlled, and secure environment in the cloud (Azure). </a:t>
          </a:r>
        </a:p>
        <a:p>
          <a:r>
            <a:rPr lang="fr-FR" sz="1400" b="0" i="0">
              <a:solidFill>
                <a:schemeClr val="dk1"/>
              </a:solidFill>
              <a:effectLst/>
              <a:latin typeface="+mn-lt"/>
              <a:ea typeface="+mn-ea"/>
              <a:cs typeface="+mn-cs"/>
            </a:rPr>
            <a:t>No local file system access </a:t>
          </a:r>
        </a:p>
        <a:p>
          <a:r>
            <a:rPr lang="fr-FR" sz="1400" b="0" i="0">
              <a:solidFill>
                <a:schemeClr val="dk1"/>
              </a:solidFill>
              <a:effectLst/>
              <a:latin typeface="+mn-lt"/>
              <a:ea typeface="+mn-ea"/>
              <a:cs typeface="+mn-cs"/>
            </a:rPr>
            <a:t>No web connection </a:t>
          </a:r>
        </a:p>
        <a:p>
          <a:r>
            <a:rPr lang="fr-FR" sz="1400" b="0" i="0">
              <a:solidFill>
                <a:schemeClr val="dk1"/>
              </a:solidFill>
              <a:effectLst/>
              <a:latin typeface="+mn-lt"/>
              <a:ea typeface="+mn-ea"/>
              <a:cs typeface="+mn-cs"/>
            </a:rPr>
            <a:t>Unable to install external packages </a:t>
          </a:r>
        </a:p>
        <a:p>
          <a:r>
            <a:rPr lang="fr-FR" sz="1400" b="0" i="0">
              <a:solidFill>
                <a:schemeClr val="dk1"/>
              </a:solidFill>
              <a:effectLst/>
              <a:latin typeface="+mn-lt"/>
              <a:ea typeface="+mn-ea"/>
              <a:cs typeface="+mn-cs"/>
            </a:rPr>
            <a:t>Python can't access workbook objects like formulas, graphs, TCDs, macros, and VBA.</a:t>
          </a:r>
        </a:p>
        <a:p>
          <a:br>
            <a:rPr lang="fr-FR" sz="1400" b="0" i="0">
              <a:solidFill>
                <a:schemeClr val="dk1"/>
              </a:solidFill>
              <a:effectLst/>
              <a:latin typeface="+mn-lt"/>
              <a:ea typeface="+mn-ea"/>
              <a:cs typeface="+mn-cs"/>
            </a:rPr>
          </a:br>
          <a:r>
            <a:rPr lang="fr-FR" sz="1400" b="0" i="0">
              <a:solidFill>
                <a:schemeClr val="dk1"/>
              </a:solidFill>
              <a:effectLst/>
              <a:latin typeface="+mn-lt"/>
              <a:ea typeface="+mn-ea"/>
              <a:cs typeface="+mn-cs"/>
            </a:rPr>
            <a:t>👉 We only work on the Excel data in the workbook </a:t>
          </a:r>
        </a:p>
        <a:p>
          <a:endParaRPr lang="fr-FR" sz="1400" b="0" i="0">
            <a:solidFill>
              <a:schemeClr val="dk1"/>
            </a:solidFill>
            <a:effectLst/>
            <a:latin typeface="+mn-lt"/>
            <a:ea typeface="+mn-ea"/>
            <a:cs typeface="+mn-cs"/>
          </a:endParaRPr>
        </a:p>
        <a:p>
          <a:r>
            <a:rPr lang="fr-FR" sz="1400" b="0" i="0">
              <a:solidFill>
                <a:schemeClr val="dk1"/>
              </a:solidFill>
              <a:effectLst/>
              <a:latin typeface="+mn-lt"/>
              <a:ea typeface="+mn-ea"/>
              <a:cs typeface="+mn-cs"/>
            </a:rPr>
            <a:t>To analyze external data, use Power Query to generate a query that can generate a Python dataframe </a:t>
          </a:r>
        </a:p>
        <a:p>
          <a:endParaRPr lang="fr-FR" sz="1400" b="0" i="0">
            <a:solidFill>
              <a:schemeClr val="dk1"/>
            </a:solidFill>
            <a:effectLst/>
            <a:latin typeface="+mn-lt"/>
            <a:ea typeface="+mn-ea"/>
            <a:cs typeface="+mn-cs"/>
          </a:endParaRPr>
        </a:p>
        <a:p>
          <a:r>
            <a:rPr lang="fr-FR" sz="1400" b="0" i="0">
              <a:solidFill>
                <a:schemeClr val="dk1"/>
              </a:solidFill>
              <a:effectLst/>
              <a:latin typeface="+mn-lt"/>
              <a:ea typeface="+mn-ea"/>
              <a:cs typeface="+mn-cs"/>
            </a:rPr>
            <a:t>Most major libraries are preloaded and provided by Anaconda.</a:t>
          </a:r>
        </a:p>
        <a:p>
          <a:pPr algn="ctr"/>
          <a:endParaRPr lang="fr-FR" sz="2000" b="0" i="0">
            <a:solidFill>
              <a:schemeClr val="dk1"/>
            </a:solidFill>
            <a:effectLst/>
            <a:latin typeface="+mn-lt"/>
            <a:ea typeface="+mn-ea"/>
            <a:cs typeface="+mn-cs"/>
          </a:endParaRPr>
        </a:p>
        <a:p>
          <a:pPr algn="ctr"/>
          <a:r>
            <a:rPr lang="fr-FR" sz="2000" b="0" i="0">
              <a:solidFill>
                <a:schemeClr val="dk1"/>
              </a:solidFill>
              <a:effectLst/>
              <a:latin typeface="+mn-lt"/>
              <a:ea typeface="+mn-ea"/>
              <a:cs typeface="+mn-cs"/>
            </a:rPr>
            <a:t>Reminder: Python is case-sensitive! </a:t>
          </a:r>
          <a:br>
            <a:rPr lang="fr-FR" sz="1400"/>
          </a:br>
          <a:endParaRPr lang="en-US" sz="1400"/>
        </a:p>
      </xdr:txBody>
    </xdr:sp>
    <xdr:clientData/>
  </xdr:twoCellAnchor>
  <xdr:twoCellAnchor>
    <xdr:from>
      <xdr:col>2</xdr:col>
      <xdr:colOff>116204</xdr:colOff>
      <xdr:row>31</xdr:row>
      <xdr:rowOff>102871</xdr:rowOff>
    </xdr:from>
    <xdr:to>
      <xdr:col>12</xdr:col>
      <xdr:colOff>441960</xdr:colOff>
      <xdr:row>35</xdr:row>
      <xdr:rowOff>7621</xdr:rowOff>
    </xdr:to>
    <xdr:sp macro="" textlink="">
      <xdr:nvSpPr>
        <xdr:cNvPr id="9" name="ZoneTexte 8">
          <a:extLst>
            <a:ext uri="{FF2B5EF4-FFF2-40B4-BE49-F238E27FC236}">
              <a16:creationId xmlns:a16="http://schemas.microsoft.com/office/drawing/2014/main" id="{FD985A48-F30C-8154-4DF6-FA9955558D8F}"/>
            </a:ext>
          </a:extLst>
        </xdr:cNvPr>
        <xdr:cNvSpPr txBox="1"/>
      </xdr:nvSpPr>
      <xdr:spPr>
        <a:xfrm>
          <a:off x="1701164" y="7265671"/>
          <a:ext cx="8738236" cy="636270"/>
        </a:xfrm>
        <a:prstGeom prst="roundRect">
          <a:avLst/>
        </a:prstGeom>
        <a:solidFill>
          <a:schemeClr val="accen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CTRL + ENTER to validate</a:t>
          </a:r>
          <a:r>
            <a:rPr lang="en-US" sz="2800" baseline="0">
              <a:solidFill>
                <a:schemeClr val="bg1"/>
              </a:solidFill>
            </a:rPr>
            <a:t> the changes in your Python code</a:t>
          </a:r>
          <a:endParaRPr lang="en-US" sz="28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22859</xdr:colOff>
      <xdr:row>2</xdr:row>
      <xdr:rowOff>57151</xdr:rowOff>
    </xdr:from>
    <xdr:to>
      <xdr:col>7</xdr:col>
      <xdr:colOff>1123950</xdr:colOff>
      <xdr:row>5</xdr:row>
      <xdr:rowOff>100965</xdr:rowOff>
    </xdr:to>
    <xdr:sp macro="" textlink="">
      <xdr:nvSpPr>
        <xdr:cNvPr id="2" name="ZoneTexte 1">
          <a:extLst>
            <a:ext uri="{FF2B5EF4-FFF2-40B4-BE49-F238E27FC236}">
              <a16:creationId xmlns:a16="http://schemas.microsoft.com/office/drawing/2014/main" id="{616EFFC9-F463-9A2F-DBCB-A0DA5E371472}"/>
            </a:ext>
          </a:extLst>
        </xdr:cNvPr>
        <xdr:cNvSpPr txBox="1"/>
      </xdr:nvSpPr>
      <xdr:spPr>
        <a:xfrm>
          <a:off x="22859" y="495301"/>
          <a:ext cx="8130541" cy="786764"/>
        </a:xfrm>
        <a:prstGeom prst="round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When using 2D ranges, Python in Excel returns a pandas DataFrame by default.</a:t>
          </a:r>
        </a:p>
        <a:p>
          <a:r>
            <a:rPr lang="en-US" sz="1800" b="1">
              <a:solidFill>
                <a:schemeClr val="bg1"/>
              </a:solidFill>
            </a:rPr>
            <a:t>df = xl("A1:C100", headers=True)  -&gt; df is a pandas.DataFrame</a:t>
          </a:r>
        </a:p>
      </xdr:txBody>
    </xdr:sp>
    <xdr:clientData/>
  </xdr:twoCellAnchor>
  <xdr:twoCellAnchor>
    <xdr:from>
      <xdr:col>4</xdr:col>
      <xdr:colOff>485775</xdr:colOff>
      <xdr:row>55</xdr:row>
      <xdr:rowOff>200025</xdr:rowOff>
    </xdr:from>
    <xdr:to>
      <xdr:col>8</xdr:col>
      <xdr:colOff>133350</xdr:colOff>
      <xdr:row>65</xdr:row>
      <xdr:rowOff>200025</xdr:rowOff>
    </xdr:to>
    <xdr:sp macro="" textlink="">
      <xdr:nvSpPr>
        <xdr:cNvPr id="3" name="ZoneTexte 2">
          <a:extLst>
            <a:ext uri="{FF2B5EF4-FFF2-40B4-BE49-F238E27FC236}">
              <a16:creationId xmlns:a16="http://schemas.microsoft.com/office/drawing/2014/main" id="{CE20EF91-747D-D0EC-D274-912CC8D21FDB}"/>
            </a:ext>
          </a:extLst>
        </xdr:cNvPr>
        <xdr:cNvSpPr txBox="1"/>
      </xdr:nvSpPr>
      <xdr:spPr>
        <a:xfrm>
          <a:off x="4619625" y="12468225"/>
          <a:ext cx="3295650" cy="209550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accent1"/>
              </a:solidFill>
              <a:effectLst/>
              <a:latin typeface="+mn-lt"/>
              <a:ea typeface="+mn-ea"/>
              <a:cs typeface="+mn-cs"/>
            </a:rPr>
            <a:t>A DataFrame  is a table. </a:t>
          </a:r>
        </a:p>
        <a:p>
          <a:endParaRPr lang="en-US" sz="1200" b="1" i="0">
            <a:solidFill>
              <a:schemeClr val="dk1"/>
            </a:solidFill>
            <a:effectLst/>
            <a:latin typeface="+mn-lt"/>
            <a:ea typeface="+mn-ea"/>
            <a:cs typeface="+mn-cs"/>
          </a:endParaRPr>
        </a:p>
        <a:p>
          <a:r>
            <a:rPr lang="en-US" sz="1400" b="1" i="0">
              <a:solidFill>
                <a:schemeClr val="dk1"/>
              </a:solidFill>
              <a:effectLst/>
              <a:latin typeface="+mn-lt"/>
              <a:ea typeface="+mn-ea"/>
              <a:cs typeface="+mn-cs"/>
            </a:rPr>
            <a:t>What can we do with a DataFrame?</a:t>
          </a:r>
        </a:p>
        <a:p>
          <a:r>
            <a:rPr lang="en-US" sz="1400" b="0" i="0">
              <a:solidFill>
                <a:schemeClr val="dk1"/>
              </a:solidFill>
              <a:effectLst/>
              <a:latin typeface="+mn-lt"/>
              <a:ea typeface="+mn-ea"/>
              <a:cs typeface="+mn-cs"/>
            </a:rPr>
            <a:t>filter</a:t>
          </a:r>
        </a:p>
        <a:p>
          <a:r>
            <a:rPr lang="en-US" sz="1400" b="0" i="0">
              <a:solidFill>
                <a:schemeClr val="dk1"/>
              </a:solidFill>
              <a:effectLst/>
              <a:latin typeface="+mn-lt"/>
              <a:ea typeface="+mn-ea"/>
              <a:cs typeface="+mn-cs"/>
            </a:rPr>
            <a:t>Sort</a:t>
          </a:r>
        </a:p>
        <a:p>
          <a:r>
            <a:rPr lang="en-US" sz="1400" b="0" i="0">
              <a:solidFill>
                <a:schemeClr val="dk1"/>
              </a:solidFill>
              <a:effectLst/>
              <a:latin typeface="+mn-lt"/>
              <a:ea typeface="+mn-ea"/>
              <a:cs typeface="+mn-cs"/>
            </a:rPr>
            <a:t>Calculate averages</a:t>
          </a:r>
        </a:p>
        <a:p>
          <a:pPr marL="0" marR="0" lvl="0" indent="0" defTabSz="914400" eaLnBrk="1" fontAlgn="auto" latinLnBrk="0" hangingPunct="1">
            <a:lnSpc>
              <a:spcPct val="100000"/>
            </a:lnSpc>
            <a:spcBef>
              <a:spcPts val="0"/>
            </a:spcBef>
            <a:spcAft>
              <a:spcPts val="0"/>
            </a:spcAft>
            <a:buClrTx/>
            <a:buSzTx/>
            <a:buFontTx/>
            <a:buNone/>
            <a:tabLst/>
            <a:defRPr/>
          </a:pPr>
          <a:r>
            <a:rPr lang="fr-CH" sz="1400" b="0" i="0">
              <a:solidFill>
                <a:schemeClr val="dk1"/>
              </a:solidFill>
              <a:effectLst/>
              <a:latin typeface="+mn-lt"/>
              <a:ea typeface="+mn-ea"/>
              <a:cs typeface="+mn-cs"/>
            </a:rPr>
            <a:t>Create new columns</a:t>
          </a:r>
          <a:endParaRPr lang="fr-FR" sz="1400" b="0" i="0">
            <a:solidFill>
              <a:schemeClr val="dk1"/>
            </a:solidFill>
            <a:effectLst/>
            <a:latin typeface="+mn-lt"/>
            <a:ea typeface="+mn-ea"/>
            <a:cs typeface="+mn-cs"/>
          </a:endParaRPr>
        </a:p>
        <a:p>
          <a:pPr marL="0" indent="0"/>
          <a:r>
            <a:rPr lang="fr-FR" sz="1400" b="0" i="0">
              <a:solidFill>
                <a:schemeClr val="dk1"/>
              </a:solidFill>
              <a:effectLst/>
              <a:latin typeface="+mn-lt"/>
              <a:ea typeface="+mn-ea"/>
              <a:cs typeface="+mn-cs"/>
            </a:rPr>
            <a:t>Group data </a:t>
          </a:r>
        </a:p>
        <a:p>
          <a:pPr marL="0" indent="0"/>
          <a:r>
            <a:rPr lang="fr-FR" sz="1400" b="0" i="0">
              <a:solidFill>
                <a:schemeClr val="dk1"/>
              </a:solidFill>
              <a:effectLst/>
              <a:latin typeface="+mn-lt"/>
              <a:ea typeface="+mn-ea"/>
              <a:cs typeface="+mn-cs"/>
            </a:rPr>
            <a:t>trace them</a:t>
          </a:r>
          <a:endParaRPr lang="en-US" sz="1400" b="0" i="0">
            <a:solidFill>
              <a:schemeClr val="dk1"/>
            </a:solidFill>
            <a:effectLst/>
            <a:latin typeface="+mn-lt"/>
            <a:ea typeface="+mn-ea"/>
            <a:cs typeface="+mn-cs"/>
          </a:endParaRPr>
        </a:p>
      </xdr:txBody>
    </xdr:sp>
    <xdr:clientData/>
  </xdr:twoCellAnchor>
  <xdr:twoCellAnchor>
    <xdr:from>
      <xdr:col>8</xdr:col>
      <xdr:colOff>333374</xdr:colOff>
      <xdr:row>55</xdr:row>
      <xdr:rowOff>180975</xdr:rowOff>
    </xdr:from>
    <xdr:to>
      <xdr:col>13</xdr:col>
      <xdr:colOff>495300</xdr:colOff>
      <xdr:row>65</xdr:row>
      <xdr:rowOff>180975</xdr:rowOff>
    </xdr:to>
    <xdr:sp macro="" textlink="">
      <xdr:nvSpPr>
        <xdr:cNvPr id="4" name="ZoneTexte 3">
          <a:extLst>
            <a:ext uri="{FF2B5EF4-FFF2-40B4-BE49-F238E27FC236}">
              <a16:creationId xmlns:a16="http://schemas.microsoft.com/office/drawing/2014/main" id="{37D86089-BBCC-41BE-BA09-EAA921637A03}"/>
            </a:ext>
          </a:extLst>
        </xdr:cNvPr>
        <xdr:cNvSpPr txBox="1"/>
      </xdr:nvSpPr>
      <xdr:spPr>
        <a:xfrm>
          <a:off x="8115299" y="12449175"/>
          <a:ext cx="4695826" cy="209550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accent1"/>
              </a:solidFill>
              <a:effectLst/>
              <a:latin typeface="+mn-lt"/>
              <a:ea typeface="+mn-ea"/>
              <a:cs typeface="+mn-cs"/>
            </a:rPr>
            <a:t>A</a:t>
          </a:r>
          <a:r>
            <a:rPr lang="en-US" sz="1400" b="0" i="0" baseline="0">
              <a:solidFill>
                <a:schemeClr val="accent1"/>
              </a:solidFill>
              <a:effectLst/>
              <a:latin typeface="+mn-lt"/>
              <a:ea typeface="+mn-ea"/>
              <a:cs typeface="+mn-cs"/>
            </a:rPr>
            <a:t> s</a:t>
          </a:r>
          <a:r>
            <a:rPr lang="en-US" sz="1400" b="0" i="0">
              <a:solidFill>
                <a:schemeClr val="accent1"/>
              </a:solidFill>
              <a:effectLst/>
              <a:latin typeface="+mn-lt"/>
              <a:ea typeface="+mn-ea"/>
              <a:cs typeface="+mn-cs"/>
            </a:rPr>
            <a:t>eries is a column in a dataframe.</a:t>
          </a:r>
        </a:p>
        <a:p>
          <a:endParaRPr lang="en-US" sz="1200" b="1" i="0">
            <a:solidFill>
              <a:schemeClr val="dk1"/>
            </a:solidFill>
            <a:effectLst/>
            <a:latin typeface="+mn-lt"/>
            <a:ea typeface="+mn-ea"/>
            <a:cs typeface="+mn-cs"/>
          </a:endParaRPr>
        </a:p>
        <a:p>
          <a:r>
            <a:rPr lang="en-US" sz="1400" b="0" i="0">
              <a:solidFill>
                <a:schemeClr val="dk1"/>
              </a:solidFill>
              <a:effectLst/>
              <a:latin typeface="+mn-lt"/>
              <a:ea typeface="+mn-ea"/>
              <a:cs typeface="+mn-cs"/>
            </a:rPr>
            <a:t>Almost all statistical functions apply to a Series, i.e. :</a:t>
          </a:r>
        </a:p>
        <a:p>
          <a:r>
            <a:rPr lang="en-US" sz="1400" b="0" i="0">
              <a:solidFill>
                <a:schemeClr val="dk1"/>
              </a:solidFill>
              <a:effectLst/>
              <a:latin typeface="+mn-lt"/>
              <a:ea typeface="+mn-ea"/>
              <a:cs typeface="+mn-cs"/>
            </a:rPr>
            <a:t>df["CA"].mean()</a:t>
          </a:r>
        </a:p>
        <a:p>
          <a:r>
            <a:rPr lang="en-US" sz="1400" b="0" i="0">
              <a:solidFill>
                <a:schemeClr val="dk1"/>
              </a:solidFill>
              <a:effectLst/>
              <a:latin typeface="+mn-lt"/>
              <a:ea typeface="+mn-ea"/>
              <a:cs typeface="+mn-cs"/>
            </a:rPr>
            <a:t>df["CA"].median() </a:t>
          </a:r>
        </a:p>
        <a:p>
          <a:r>
            <a:rPr lang="en-US" sz="1400" b="0" i="0">
              <a:solidFill>
                <a:schemeClr val="dk1"/>
              </a:solidFill>
              <a:effectLst/>
              <a:latin typeface="+mn-lt"/>
              <a:ea typeface="+mn-ea"/>
              <a:cs typeface="+mn-cs"/>
            </a:rPr>
            <a:t>df["CA"].sum() </a:t>
          </a:r>
        </a:p>
        <a:p>
          <a:r>
            <a:rPr lang="en-US" sz="1400" b="0" i="0">
              <a:solidFill>
                <a:schemeClr val="dk1"/>
              </a:solidFill>
              <a:effectLst/>
              <a:latin typeface="+mn-lt"/>
              <a:ea typeface="+mn-ea"/>
              <a:cs typeface="+mn-cs"/>
            </a:rPr>
            <a:t>df["CA"].min() </a:t>
          </a:r>
        </a:p>
        <a:p>
          <a:r>
            <a:rPr lang="en-US" sz="1400" b="0" i="0">
              <a:solidFill>
                <a:schemeClr val="dk1"/>
              </a:solidFill>
              <a:effectLst/>
              <a:latin typeface="+mn-lt"/>
              <a:ea typeface="+mn-ea"/>
              <a:cs typeface="+mn-cs"/>
            </a:rPr>
            <a:t>df["CA"].max()</a:t>
          </a:r>
          <a:endParaRPr lang="en-US" sz="1800"/>
        </a:p>
      </xdr:txBody>
    </xdr:sp>
    <xdr:clientData/>
  </xdr:twoCellAnchor>
  <xdr:twoCellAnchor>
    <xdr:from>
      <xdr:col>7</xdr:col>
      <xdr:colOff>38100</xdr:colOff>
      <xdr:row>26</xdr:row>
      <xdr:rowOff>140970</xdr:rowOff>
    </xdr:from>
    <xdr:to>
      <xdr:col>7</xdr:col>
      <xdr:colOff>1082040</xdr:colOff>
      <xdr:row>26</xdr:row>
      <xdr:rowOff>142875</xdr:rowOff>
    </xdr:to>
    <xdr:cxnSp macro="">
      <xdr:nvCxnSpPr>
        <xdr:cNvPr id="6" name="Connecteur droit avec flèche 5">
          <a:extLst>
            <a:ext uri="{FF2B5EF4-FFF2-40B4-BE49-F238E27FC236}">
              <a16:creationId xmlns:a16="http://schemas.microsoft.com/office/drawing/2014/main" id="{93A5F2E5-CE32-3BEE-816C-8D8E7EFCC974}"/>
            </a:ext>
          </a:extLst>
        </xdr:cNvPr>
        <xdr:cNvCxnSpPr/>
      </xdr:nvCxnSpPr>
      <xdr:spPr>
        <a:xfrm flipV="1">
          <a:off x="6886575" y="6370320"/>
          <a:ext cx="1043940" cy="1905"/>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19049</xdr:colOff>
      <xdr:row>4</xdr:row>
      <xdr:rowOff>95251</xdr:rowOff>
    </xdr:from>
    <xdr:to>
      <xdr:col>11</xdr:col>
      <xdr:colOff>171450</xdr:colOff>
      <xdr:row>45</xdr:row>
      <xdr:rowOff>167641</xdr:rowOff>
    </xdr:to>
    <xdr:pic>
      <xdr:nvPicPr>
        <xdr:cNvPr id="6" name="Picture 5" descr="Image generated by Python">
          <a:extLst>
            <a:ext uri="{FF2B5EF4-FFF2-40B4-BE49-F238E27FC236}">
              <a16:creationId xmlns:a16="http://schemas.microsoft.com/office/drawing/2014/main" id="{24645D4E-CE99-ADA3-EF82-5660EB332E36}"/>
            </a:ext>
          </a:extLst>
        </xdr:cNvPr>
        <xdr:cNvPicPr>
          <a:picLocks noChangeAspect="1"/>
          <a:extLst>
            <a:ext uri="{53484399-7A02-498B-ADA4-41CD10E50FAC}">
              <aif:imageFormula xmlns:aif="http://schemas.microsoft.com/office/drawing/2022/imageformula" formula="Matplotlib!F4"/>
            </a:ext>
          </a:extLst>
        </xdr:cNvPicPr>
      </xdr:nvPicPr>
      <xdr:blipFill>
        <a:blip xmlns:r="http://schemas.openxmlformats.org/officeDocument/2006/relationships" r:embed="rId1"/>
        <a:stretch>
          <a:fillRect/>
        </a:stretch>
      </xdr:blipFill>
      <xdr:spPr>
        <a:xfrm>
          <a:off x="4000499" y="866776"/>
          <a:ext cx="4895851" cy="7492365"/>
        </a:xfrm>
        <a:prstGeom prst="rect">
          <a:avLst/>
        </a:prstGeom>
      </xdr:spPr>
    </xdr:pic>
    <xdr:clientData/>
  </xdr:twoCellAnchor>
  <xdr:twoCellAnchor editAs="oneCell">
    <xdr:from>
      <xdr:col>13</xdr:col>
      <xdr:colOff>38100</xdr:colOff>
      <xdr:row>4</xdr:row>
      <xdr:rowOff>38100</xdr:rowOff>
    </xdr:from>
    <xdr:to>
      <xdr:col>24</xdr:col>
      <xdr:colOff>710565</xdr:colOff>
      <xdr:row>29</xdr:row>
      <xdr:rowOff>123825</xdr:rowOff>
    </xdr:to>
    <xdr:pic>
      <xdr:nvPicPr>
        <xdr:cNvPr id="7" name="Picture 6">
          <a:extLst>
            <a:ext uri="{FF2B5EF4-FFF2-40B4-BE49-F238E27FC236}">
              <a16:creationId xmlns:a16="http://schemas.microsoft.com/office/drawing/2014/main" id="{D1ACD39A-65EC-9C91-4515-F776C8FCD648}"/>
            </a:ext>
          </a:extLst>
        </xdr:cNvPr>
        <xdr:cNvPicPr>
          <a:picLocks noChangeAspect="1"/>
          <a:extLst>
            <a:ext uri="{53484399-7A02-498B-ADA4-41CD10E50FAC}">
              <aif:imageFormula xmlns:aif="http://schemas.microsoft.com/office/drawing/2022/imageformula" formula="Matplotlib!M12"/>
            </a:ext>
          </a:extLst>
        </xdr:cNvPicPr>
      </xdr:nvPicPr>
      <xdr:blipFill>
        <a:blip xmlns:r="http://schemas.openxmlformats.org/officeDocument/2006/relationships" r:embed="rId2"/>
        <a:stretch>
          <a:fillRect/>
        </a:stretch>
      </xdr:blipFill>
      <xdr:spPr>
        <a:xfrm>
          <a:off x="10355580" y="937260"/>
          <a:ext cx="9389745" cy="4657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19051</xdr:colOff>
      <xdr:row>5</xdr:row>
      <xdr:rowOff>123825</xdr:rowOff>
    </xdr:from>
    <xdr:to>
      <xdr:col>6</xdr:col>
      <xdr:colOff>95251</xdr:colOff>
      <xdr:row>28</xdr:row>
      <xdr:rowOff>172027</xdr:rowOff>
    </xdr:to>
    <xdr:pic>
      <xdr:nvPicPr>
        <xdr:cNvPr id="2" name="Image 1" descr="Image générée par Python">
          <a:extLst>
            <a:ext uri="{FF2B5EF4-FFF2-40B4-BE49-F238E27FC236}">
              <a16:creationId xmlns:a16="http://schemas.microsoft.com/office/drawing/2014/main" id="{3F5C551E-1F2A-1329-0C77-92BC29797177}"/>
            </a:ext>
          </a:extLst>
        </xdr:cNvPr>
        <xdr:cNvPicPr>
          <a:picLocks noChangeAspect="1"/>
          <a:extLst>
            <a:ext uri="{53484399-7A02-498B-ADA4-41CD10E50FAC}">
              <aif:imageFormula xmlns:aif="http://schemas.microsoft.com/office/drawing/2022/imageformula" formula="'Seaborn-Violin'!B5"/>
            </a:ext>
          </a:extLst>
        </xdr:cNvPicPr>
      </xdr:nvPicPr>
      <xdr:blipFill>
        <a:blip xmlns:r="http://schemas.openxmlformats.org/officeDocument/2006/relationships" r:embed="rId1"/>
        <a:stretch>
          <a:fillRect/>
        </a:stretch>
      </xdr:blipFill>
      <xdr:spPr>
        <a:xfrm>
          <a:off x="781051" y="1076325"/>
          <a:ext cx="3886200" cy="4429702"/>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2</xdr:col>
      <xdr:colOff>95250</xdr:colOff>
      <xdr:row>38</xdr:row>
      <xdr:rowOff>104775</xdr:rowOff>
    </xdr:from>
    <xdr:to>
      <xdr:col>7</xdr:col>
      <xdr:colOff>162314</xdr:colOff>
      <xdr:row>53</xdr:row>
      <xdr:rowOff>173361</xdr:rowOff>
    </xdr:to>
    <xdr:pic>
      <xdr:nvPicPr>
        <xdr:cNvPr id="3" name="Image 2" descr="Image générée par Python">
          <a:extLst>
            <a:ext uri="{FF2B5EF4-FFF2-40B4-BE49-F238E27FC236}">
              <a16:creationId xmlns:a16="http://schemas.microsoft.com/office/drawing/2014/main" id="{B90FB0B1-9F02-C77E-4E11-4E33D5956D72}"/>
            </a:ext>
          </a:extLst>
        </xdr:cNvPr>
        <xdr:cNvPicPr>
          <a:picLocks noChangeAspect="1"/>
          <a:extLst>
            <a:ext uri="{53484399-7A02-498B-ADA4-41CD10E50FAC}">
              <aif:imageFormula xmlns:aif="http://schemas.microsoft.com/office/drawing/2022/imageformula" formula="'Seaborn-Violin'!B39"/>
            </a:ext>
          </a:extLst>
        </xdr:cNvPicPr>
      </xdr:nvPicPr>
      <xdr:blipFill>
        <a:blip xmlns:r="http://schemas.openxmlformats.org/officeDocument/2006/relationships" r:embed="rId2"/>
        <a:stretch>
          <a:fillRect/>
        </a:stretch>
      </xdr:blipFill>
      <xdr:spPr>
        <a:xfrm>
          <a:off x="1619250" y="7343775"/>
          <a:ext cx="3877064" cy="2926086"/>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xdr:from>
      <xdr:col>0</xdr:col>
      <xdr:colOff>352425</xdr:colOff>
      <xdr:row>34</xdr:row>
      <xdr:rowOff>57151</xdr:rowOff>
    </xdr:from>
    <xdr:to>
      <xdr:col>9</xdr:col>
      <xdr:colOff>561975</xdr:colOff>
      <xdr:row>36</xdr:row>
      <xdr:rowOff>133351</xdr:rowOff>
    </xdr:to>
    <xdr:sp macro="" textlink="">
      <xdr:nvSpPr>
        <xdr:cNvPr id="4" name="ZoneTexte 3">
          <a:extLst>
            <a:ext uri="{FF2B5EF4-FFF2-40B4-BE49-F238E27FC236}">
              <a16:creationId xmlns:a16="http://schemas.microsoft.com/office/drawing/2014/main" id="{AE5577D4-46D4-419D-AC76-8743C3E98DE4}"/>
            </a:ext>
          </a:extLst>
        </xdr:cNvPr>
        <xdr:cNvSpPr txBox="1"/>
      </xdr:nvSpPr>
      <xdr:spPr>
        <a:xfrm>
          <a:off x="352425" y="6534151"/>
          <a:ext cx="7067550" cy="45720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Matplotlib dessine le violon </a:t>
          </a:r>
          <a:r>
            <a:rPr lang="en-US" sz="1100" b="1" i="0">
              <a:solidFill>
                <a:schemeClr val="dk1"/>
              </a:solidFill>
              <a:effectLst/>
              <a:latin typeface="+mn-lt"/>
              <a:ea typeface="+mn-ea"/>
              <a:cs typeface="+mn-cs"/>
            </a:rPr>
            <a:t>autour des données brutes</a:t>
          </a:r>
          <a:r>
            <a:rPr lang="en-US" sz="1100" b="0" i="0">
              <a:solidFill>
                <a:schemeClr val="dk1"/>
              </a:solidFill>
              <a:effectLst/>
              <a:latin typeface="+mn-lt"/>
              <a:ea typeface="+mn-ea"/>
              <a:cs typeface="+mn-cs"/>
            </a:rPr>
            <a:t> → pas d’expansion négative.</a:t>
          </a:r>
        </a:p>
        <a:p>
          <a:r>
            <a:rPr lang="en-US" sz="1100" b="1" i="0">
              <a:solidFill>
                <a:schemeClr val="dk1"/>
              </a:solidFill>
              <a:effectLst/>
              <a:latin typeface="+mn-lt"/>
              <a:ea typeface="+mn-ea"/>
              <a:cs typeface="+mn-cs"/>
            </a:rPr>
            <a:t>Seaborn calcule une densité (KDE : kernel density estimation)</a:t>
          </a:r>
          <a:r>
            <a:rPr lang="en-US" sz="1100" b="0" i="0">
              <a:solidFill>
                <a:schemeClr val="dk1"/>
              </a:solidFill>
              <a:effectLst/>
              <a:latin typeface="+mn-lt"/>
              <a:ea typeface="+mn-ea"/>
              <a:cs typeface="+mn-cs"/>
            </a:rPr>
            <a:t> qui </a:t>
          </a:r>
          <a:r>
            <a:rPr lang="en-US" sz="1100" b="1" i="0">
              <a:solidFill>
                <a:schemeClr val="dk1"/>
              </a:solidFill>
              <a:effectLst/>
              <a:latin typeface="+mn-lt"/>
              <a:ea typeface="+mn-ea"/>
              <a:cs typeface="+mn-cs"/>
            </a:rPr>
            <a:t>s’étend légèrement au‑delà des valeurs réelles</a:t>
          </a:r>
          <a:r>
            <a:rPr lang="en-US" sz="1100" b="0" i="0">
              <a:solidFill>
                <a:schemeClr val="dk1"/>
              </a:solidFill>
              <a:effectLst/>
              <a:latin typeface="+mn-lt"/>
              <a:ea typeface="+mn-ea"/>
              <a:cs typeface="+mn-cs"/>
            </a:rPr>
            <a:t>.</a:t>
          </a:r>
        </a:p>
        <a:p>
          <a:endParaRPr lang="en-US" sz="1100"/>
        </a:p>
      </xdr:txBody>
    </xdr:sp>
    <xdr:clientData/>
  </xdr:twoCellAnchor>
  <xdr:twoCellAnchor editAs="oneCell">
    <xdr:from>
      <xdr:col>6</xdr:col>
      <xdr:colOff>731520</xdr:colOff>
      <xdr:row>5</xdr:row>
      <xdr:rowOff>38100</xdr:rowOff>
    </xdr:from>
    <xdr:to>
      <xdr:col>10</xdr:col>
      <xdr:colOff>734574</xdr:colOff>
      <xdr:row>31</xdr:row>
      <xdr:rowOff>30480</xdr:rowOff>
    </xdr:to>
    <xdr:pic>
      <xdr:nvPicPr>
        <xdr:cNvPr id="5" name="Picture 4" descr="Image generated by Python">
          <a:extLst>
            <a:ext uri="{FF2B5EF4-FFF2-40B4-BE49-F238E27FC236}">
              <a16:creationId xmlns:a16="http://schemas.microsoft.com/office/drawing/2014/main" id="{A057DEC4-5712-4FF7-E0AA-C01BA6B3A0B2}"/>
            </a:ext>
          </a:extLst>
        </xdr:cNvPr>
        <xdr:cNvPicPr>
          <a:picLocks noChangeAspect="1"/>
          <a:extLst>
            <a:ext uri="{53484399-7A02-498B-ADA4-41CD10E50FAC}">
              <aif:imageFormula xmlns:aif="http://schemas.microsoft.com/office/drawing/2022/imageformula" formula="'Seaborn-Violin'!H5"/>
            </a:ext>
          </a:extLst>
        </xdr:cNvPicPr>
      </xdr:nvPicPr>
      <xdr:blipFill>
        <a:blip xmlns:r="http://schemas.openxmlformats.org/officeDocument/2006/relationships" r:embed="rId3"/>
        <a:stretch>
          <a:fillRect/>
        </a:stretch>
      </xdr:blipFill>
      <xdr:spPr>
        <a:xfrm>
          <a:off x="5486400" y="998220"/>
          <a:ext cx="3172974" cy="47472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126539</xdr:colOff>
      <xdr:row>2</xdr:row>
      <xdr:rowOff>35099</xdr:rowOff>
    </xdr:from>
    <xdr:to>
      <xdr:col>14</xdr:col>
      <xdr:colOff>534391</xdr:colOff>
      <xdr:row>56</xdr:row>
      <xdr:rowOff>59115</xdr:rowOff>
    </xdr:to>
    <xdr:pic>
      <xdr:nvPicPr>
        <xdr:cNvPr id="2" name="Image 1" descr="Image générée par Python">
          <a:extLst>
            <a:ext uri="{FF2B5EF4-FFF2-40B4-BE49-F238E27FC236}">
              <a16:creationId xmlns:a16="http://schemas.microsoft.com/office/drawing/2014/main" id="{A1C749A1-D5CD-BEA6-0FEF-0D1D0B88B823}"/>
            </a:ext>
          </a:extLst>
        </xdr:cNvPr>
        <xdr:cNvPicPr>
          <a:picLocks noChangeAspect="1"/>
          <a:extLst>
            <a:ext uri="{53484399-7A02-498B-ADA4-41CD10E50FAC}">
              <aif:imageFormula xmlns:aif="http://schemas.microsoft.com/office/drawing/2022/imageformula" formula="'Seaborn-Pairplot'!A6"/>
            </a:ext>
          </a:extLst>
        </xdr:cNvPicPr>
      </xdr:nvPicPr>
      <xdr:blipFill>
        <a:blip xmlns:r="http://schemas.openxmlformats.org/officeDocument/2006/relationships" r:embed="rId1"/>
        <a:stretch>
          <a:fillRect/>
        </a:stretch>
      </xdr:blipFill>
      <xdr:spPr>
        <a:xfrm>
          <a:off x="919327" y="404554"/>
          <a:ext cx="10714094" cy="99992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7</xdr:row>
      <xdr:rowOff>123825</xdr:rowOff>
    </xdr:from>
    <xdr:to>
      <xdr:col>6</xdr:col>
      <xdr:colOff>198510</xdr:colOff>
      <xdr:row>30</xdr:row>
      <xdr:rowOff>158886</xdr:rowOff>
    </xdr:to>
    <xdr:pic>
      <xdr:nvPicPr>
        <xdr:cNvPr id="2" name="Image 1" descr="Image générée par Python">
          <a:extLst>
            <a:ext uri="{FF2B5EF4-FFF2-40B4-BE49-F238E27FC236}">
              <a16:creationId xmlns:a16="http://schemas.microsoft.com/office/drawing/2014/main" id="{2EA0531D-7415-F47A-655D-4F92A9AE9C2D}"/>
            </a:ext>
          </a:extLst>
        </xdr:cNvPr>
        <xdr:cNvPicPr>
          <a:picLocks noChangeAspect="1"/>
          <a:extLst>
            <a:ext uri="{53484399-7A02-498B-ADA4-41CD10E50FAC}">
              <aif:imageFormula xmlns:aif="http://schemas.microsoft.com/office/drawing/2022/imageformula" formula="'Seaborn-Catplot'!A3"/>
            </a:ext>
          </a:extLst>
        </xdr:cNvPicPr>
      </xdr:nvPicPr>
      <xdr:blipFill>
        <a:blip xmlns:r="http://schemas.openxmlformats.org/officeDocument/2006/relationships" r:embed="rId1"/>
        <a:stretch>
          <a:fillRect/>
        </a:stretch>
      </xdr:blipFill>
      <xdr:spPr>
        <a:xfrm>
          <a:off x="161925" y="1533525"/>
          <a:ext cx="4608585" cy="4416561"/>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7</xdr:col>
      <xdr:colOff>171450</xdr:colOff>
      <xdr:row>7</xdr:row>
      <xdr:rowOff>123825</xdr:rowOff>
    </xdr:from>
    <xdr:to>
      <xdr:col>13</xdr:col>
      <xdr:colOff>47625</xdr:colOff>
      <xdr:row>30</xdr:row>
      <xdr:rowOff>160240</xdr:rowOff>
    </xdr:to>
    <xdr:pic>
      <xdr:nvPicPr>
        <xdr:cNvPr id="3" name="Image 2" descr="Image générée par Python">
          <a:extLst>
            <a:ext uri="{FF2B5EF4-FFF2-40B4-BE49-F238E27FC236}">
              <a16:creationId xmlns:a16="http://schemas.microsoft.com/office/drawing/2014/main" id="{410C0F9F-5399-2595-7075-D105AF776A3D}"/>
            </a:ext>
          </a:extLst>
        </xdr:cNvPr>
        <xdr:cNvPicPr>
          <a:picLocks noChangeAspect="1"/>
          <a:extLst>
            <a:ext uri="{53484399-7A02-498B-ADA4-41CD10E50FAC}">
              <aif:imageFormula xmlns:aif="http://schemas.microsoft.com/office/drawing/2022/imageformula" formula="'Seaborn-Catplot'!H3"/>
            </a:ext>
          </a:extLst>
        </xdr:cNvPicPr>
      </xdr:nvPicPr>
      <xdr:blipFill>
        <a:blip xmlns:r="http://schemas.openxmlformats.org/officeDocument/2006/relationships" r:embed="rId2"/>
        <a:stretch>
          <a:fillRect/>
        </a:stretch>
      </xdr:blipFill>
      <xdr:spPr>
        <a:xfrm>
          <a:off x="5505450" y="1581150"/>
          <a:ext cx="4448175" cy="4417915"/>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14</xdr:col>
      <xdr:colOff>142875</xdr:colOff>
      <xdr:row>7</xdr:row>
      <xdr:rowOff>28576</xdr:rowOff>
    </xdr:from>
    <xdr:to>
      <xdr:col>17</xdr:col>
      <xdr:colOff>668464</xdr:colOff>
      <xdr:row>31</xdr:row>
      <xdr:rowOff>161926</xdr:rowOff>
    </xdr:to>
    <xdr:pic>
      <xdr:nvPicPr>
        <xdr:cNvPr id="4" name="Image 3" descr="Image générée par Python">
          <a:extLst>
            <a:ext uri="{FF2B5EF4-FFF2-40B4-BE49-F238E27FC236}">
              <a16:creationId xmlns:a16="http://schemas.microsoft.com/office/drawing/2014/main" id="{F0986449-3BDF-DF9A-5793-79F0DCA0DD87}"/>
            </a:ext>
          </a:extLst>
        </xdr:cNvPr>
        <xdr:cNvPicPr>
          <a:picLocks noChangeAspect="1"/>
          <a:extLst>
            <a:ext uri="{53484399-7A02-498B-ADA4-41CD10E50FAC}">
              <aif:imageFormula xmlns:aif="http://schemas.microsoft.com/office/drawing/2022/imageformula" formula="'Seaborn-Catplot'!O3"/>
            </a:ext>
          </a:extLst>
        </xdr:cNvPicPr>
      </xdr:nvPicPr>
      <xdr:blipFill>
        <a:blip xmlns:r="http://schemas.openxmlformats.org/officeDocument/2006/relationships" r:embed="rId3"/>
        <a:stretch>
          <a:fillRect/>
        </a:stretch>
      </xdr:blipFill>
      <xdr:spPr>
        <a:xfrm>
          <a:off x="10810875" y="1485901"/>
          <a:ext cx="2811589" cy="47053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638175</xdr:colOff>
      <xdr:row>3</xdr:row>
      <xdr:rowOff>133350</xdr:rowOff>
    </xdr:from>
    <xdr:to>
      <xdr:col>9</xdr:col>
      <xdr:colOff>421779</xdr:colOff>
      <xdr:row>29</xdr:row>
      <xdr:rowOff>127264</xdr:rowOff>
    </xdr:to>
    <xdr:pic>
      <xdr:nvPicPr>
        <xdr:cNvPr id="2" name="Image 1" descr="Image générée par Python">
          <a:extLst>
            <a:ext uri="{FF2B5EF4-FFF2-40B4-BE49-F238E27FC236}">
              <a16:creationId xmlns:a16="http://schemas.microsoft.com/office/drawing/2014/main" id="{59EFB0E3-9421-35E5-8A82-42487BB45215}"/>
            </a:ext>
          </a:extLst>
        </xdr:cNvPr>
        <xdr:cNvPicPr>
          <a:picLocks noChangeAspect="1"/>
          <a:extLst>
            <a:ext uri="{53484399-7A02-498B-ADA4-41CD10E50FAC}">
              <aif:imageFormula xmlns:aif="http://schemas.microsoft.com/office/drawing/2022/imageformula" formula="'Seaborn-Heatmap(Correlation)'!A6"/>
            </a:ext>
          </a:extLst>
        </xdr:cNvPicPr>
      </xdr:nvPicPr>
      <xdr:blipFill>
        <a:blip xmlns:r="http://schemas.openxmlformats.org/officeDocument/2006/relationships" r:embed="rId1"/>
        <a:stretch>
          <a:fillRect/>
        </a:stretch>
      </xdr:blipFill>
      <xdr:spPr>
        <a:xfrm>
          <a:off x="1400175" y="704850"/>
          <a:ext cx="5879604" cy="49469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200025</xdr:colOff>
      <xdr:row>17</xdr:row>
      <xdr:rowOff>190500</xdr:rowOff>
    </xdr:from>
    <xdr:to>
      <xdr:col>21</xdr:col>
      <xdr:colOff>436245</xdr:colOff>
      <xdr:row>41</xdr:row>
      <xdr:rowOff>78105</xdr:rowOff>
    </xdr:to>
    <xdr:pic>
      <xdr:nvPicPr>
        <xdr:cNvPr id="2" name="Picture 1">
          <a:extLst>
            <a:ext uri="{FF2B5EF4-FFF2-40B4-BE49-F238E27FC236}">
              <a16:creationId xmlns:a16="http://schemas.microsoft.com/office/drawing/2014/main" id="{B3C861A9-ADB1-8873-93F8-92876E19F3F9}"/>
            </a:ext>
          </a:extLst>
        </xdr:cNvPr>
        <xdr:cNvPicPr>
          <a:picLocks noChangeAspect="1"/>
          <a:extLst>
            <a:ext uri="{53484399-7A02-498B-ADA4-41CD10E50FAC}">
              <aif:imageFormula xmlns:aif="http://schemas.microsoft.com/office/drawing/2022/imageformula" formula="RECAP!L19"/>
            </a:ext>
          </a:extLst>
        </xdr:cNvPicPr>
      </xdr:nvPicPr>
      <xdr:blipFill>
        <a:blip xmlns:r="http://schemas.openxmlformats.org/officeDocument/2006/relationships" r:embed="rId1"/>
        <a:stretch>
          <a:fillRect/>
        </a:stretch>
      </xdr:blipFill>
      <xdr:spPr>
        <a:xfrm>
          <a:off x="9191625" y="3695700"/>
          <a:ext cx="5694045" cy="46482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3">
  <a r="2">
    <v>920</v>
    <v>489</v>
  </a>
  <a r="6" c="6">
    <v t="s"/>
    <v t="s">Date</v>
    <v t="s">Region</v>
    <v t="s">Product</v>
    <v t="s">Quantity</v>
    <v t="s">UnitPrice</v>
    <v>0</v>
    <v t="r">41</v>
    <v t="s">North</v>
    <v t="s">Laptop</v>
    <v>5</v>
    <v>1200</v>
    <v>1</v>
    <v t="r">42</v>
    <v t="s">South</v>
    <v t="s">Monitor</v>
    <v>8</v>
    <v>300</v>
    <v>2</v>
    <v t="r">42</v>
    <v t="s">North</v>
    <v t="s">Keyboard</v>
    <v>15</v>
    <v>50</v>
    <v>3</v>
    <v t="r">43</v>
    <v t="s">West</v>
    <v t="s">Laptop</v>
    <v>3</v>
    <v>1200</v>
    <v>4</v>
    <v t="r">44</v>
    <v t="s">South</v>
    <v t="s">Mouse</v>
    <v>20</v>
    <v>25</v>
  </a>
  <a r="12" c="7">
    <v t="s"/>
    <v t="s">Date</v>
    <v t="s">Region</v>
    <v t="s">Product</v>
    <v t="s">Quantity</v>
    <v t="s">UnitPrice</v>
    <v t="s">Revenue</v>
    <v>0</v>
    <v t="r">41</v>
    <v t="s">North</v>
    <v t="s">Laptop</v>
    <v>5</v>
    <v>1200</v>
    <v>6000</v>
    <v>1</v>
    <v t="r">42</v>
    <v t="s">South</v>
    <v t="s">Monitor</v>
    <v>8</v>
    <v>300</v>
    <v>2400</v>
    <v>2</v>
    <v t="r">42</v>
    <v t="s">North</v>
    <v t="s">Keyboard</v>
    <v>15</v>
    <v>50</v>
    <v>750</v>
    <v>3</v>
    <v t="r">43</v>
    <v t="s">West</v>
    <v t="s">Laptop</v>
    <v>3</v>
    <v>1200</v>
    <v>3600</v>
    <v>4</v>
    <v t="r">44</v>
    <v t="s">South</v>
    <v t="s">Mouse</v>
    <v>20</v>
    <v>25</v>
    <v>500</v>
    <v t="s">...</v>
    <v t="s">...</v>
    <v t="s">...</v>
    <v t="s">...</v>
    <v t="s">...</v>
    <v t="s">...</v>
    <v t="s">...</v>
    <v>11</v>
    <v t="r">48</v>
    <v t="s">North</v>
    <v t="s">Laptop</v>
    <v>4</v>
    <v>1200</v>
    <v>4800</v>
    <v>12</v>
    <v t="r">49</v>
    <v t="s">East</v>
    <v t="s">Mouse</v>
    <v>23</v>
    <v>25</v>
    <v>575</v>
    <v>13</v>
    <v t="r">50</v>
    <v t="s">North</v>
    <v t="s">Monitor</v>
    <v>11</v>
    <v>300</v>
    <v>3300</v>
    <v>14</v>
    <v t="r">51</v>
    <v t="s">East</v>
    <v t="s">Laptop</v>
    <v>6</v>
    <v>1200</v>
    <v>7200</v>
    <v>15</v>
    <v t="r">52</v>
    <v t="s">West</v>
    <v t="s">Keyboard</v>
    <v>7</v>
    <v>50</v>
    <v>350</v>
  </a>
  <a r="5" c="2">
    <v t="s">Region</v>
    <v t="s">Revenue</v>
    <v t="s">North</v>
    <v>16650</v>
    <v t="s">East</v>
    <v>9725</v>
    <v t="s">West</v>
    <v>6550</v>
    <v t="s">South</v>
    <v>3500</v>
  </a>
  <a r="5" c="2">
    <v t="s">Product</v>
    <v t="s">Revenue</v>
    <v t="s">Laptop</v>
    <v>22800</v>
    <v t="s">Monitor</v>
    <v>9600</v>
    <v t="s">Keyboard</v>
    <v>2200</v>
    <v t="s">Mouse</v>
    <v>1825</v>
  </a>
  <a r="5" c="3">
    <v t="s"/>
    <v t="s">Metric</v>
    <v t="s">Value</v>
    <v>0</v>
    <v t="s">Total Sales</v>
    <v>36425</v>
    <v>1</v>
    <v t="s">Average Transaction</v>
    <v>2276.5625</v>
    <v>2</v>
    <v t="s">Highest Transaction</v>
    <v>7200</v>
    <v>3</v>
    <v t="s">Lowest Transaction</v>
    <v>350</v>
  </a>
  <a r="2">
    <v>598</v>
    <v>488</v>
  </a>
  <a r="2" c="7">
    <v t="s"/>
    <v t="s">Date</v>
    <v t="s">Region</v>
    <v t="s">Product</v>
    <v t="s">Quantity</v>
    <v t="s">UnitPrice</v>
    <v t="s">Revenue</v>
    <v>14</v>
    <v t="r">51</v>
    <v t="s">East</v>
    <v t="s">Laptop</v>
    <v>6</v>
    <v>1200</v>
    <v>7200</v>
  </a>
  <a r="4" c="3">
    <v t="s"/>
    <v t="s">Insight</v>
    <v t="s">Result</v>
    <v>0</v>
    <v t="s">Best Region</v>
    <v t="s">North</v>
    <v>1</v>
    <v t="s">Best Product</v>
    <v t="s">Laptop</v>
    <v>2</v>
    <v t="s">Total Revenue</v>
    <v>36425</v>
  </a>
  <a r="3" c="2">
    <v t="s">Region</v>
    <v t="s">Revenue</v>
    <v t="s">East</v>
    <v>0.2669869595058339</v>
    <v t="s">North</v>
    <v>0.45710363761153056</v>
  </a>
  <a r="5" c="2">
    <v t="s">Product</v>
    <v t="s">Revenue</v>
    <v t="s">Keyboard</v>
    <v>3</v>
    <v t="s">Laptop</v>
    <v>1</v>
    <v t="s">Monitor</v>
    <v>2</v>
    <v t="s">Mouse</v>
    <v>4</v>
  </a>
  <a r="12" c="9">
    <v t="s"/>
    <v t="s">Date</v>
    <v t="s">Region</v>
    <v t="s">Product</v>
    <v t="s">Quantity</v>
    <v t="s">UnitPrice</v>
    <v t="s">Revenue</v>
    <v t="s">Revenue_Plus5</v>
    <v t="s">Category</v>
    <v>0</v>
    <v t="r">41</v>
    <v t="s">North</v>
    <v t="s">Laptop</v>
    <v>5</v>
    <v>1200</v>
    <v>6000</v>
    <v>6300</v>
    <v t="s">Excellent</v>
    <v>1</v>
    <v t="r">42</v>
    <v t="s">South</v>
    <v t="s">Monitor</v>
    <v>8</v>
    <v>300</v>
    <v>2400</v>
    <v>2520</v>
    <v t="s">Good</v>
    <v>2</v>
    <v t="r">42</v>
    <v t="s">North</v>
    <v t="s">Keyboard</v>
    <v>15</v>
    <v>50</v>
    <v>750</v>
    <v>787.5</v>
    <v t="s">Standard</v>
    <v>3</v>
    <v t="r">43</v>
    <v t="s">West</v>
    <v t="s">Laptop</v>
    <v>3</v>
    <v>1200</v>
    <v>3600</v>
    <v>3780</v>
    <v t="s">Good</v>
    <v>4</v>
    <v t="r">44</v>
    <v t="s">South</v>
    <v t="s">Mouse</v>
    <v>20</v>
    <v>25</v>
    <v>500</v>
    <v>525</v>
    <v t="s">Standard</v>
    <v t="s">...</v>
    <v t="s">...</v>
    <v t="s">...</v>
    <v t="s">...</v>
    <v t="s">...</v>
    <v t="s">...</v>
    <v t="s">...</v>
    <v t="s">...</v>
    <v t="s">...</v>
    <v>11</v>
    <v t="r">48</v>
    <v t="s">North</v>
    <v t="s">Laptop</v>
    <v>4</v>
    <v>1200</v>
    <v>4800</v>
    <v>5040</v>
    <v t="s">Good</v>
    <v>12</v>
    <v t="r">49</v>
    <v t="s">East</v>
    <v t="s">Mouse</v>
    <v>23</v>
    <v>25</v>
    <v>575</v>
    <v>603.75</v>
    <v t="s">Standard</v>
    <v>13</v>
    <v t="r">50</v>
    <v t="s">North</v>
    <v t="s">Monitor</v>
    <v>11</v>
    <v>300</v>
    <v>3300</v>
    <v>3465</v>
    <v t="s">Good</v>
    <v>14</v>
    <v t="r">51</v>
    <v t="s">East</v>
    <v t="s">Laptop</v>
    <v>6</v>
    <v>1200</v>
    <v>7200</v>
    <v>7560</v>
    <v t="s">Excellent</v>
    <v>15</v>
    <v t="r">52</v>
    <v t="s">West</v>
    <v t="s">Keyboard</v>
    <v>7</v>
    <v>50</v>
    <v>350</v>
    <v>367.5</v>
    <v t="s">Standard</v>
  </a>
  <a r="2" c="3">
    <v t="s"/>
    <v t="s">Metric</v>
    <v t="s">Value</v>
    <v>0</v>
    <v t="s">Total Bonus Paid</v>
    <v>2270.5</v>
  </a>
</arrayData>
</file>

<file path=xl/richData/rdrichvalue.xml><?xml version="1.0" encoding="utf-8"?>
<rvData xmlns="http://schemas.microsoft.com/office/spreadsheetml/2017/richdata" count="88">
  <rv s="0">
    <fb>15</fb>
    <v>&lt;class 'float'&gt;</v>
    <v>float</v>
    <v>15.0</v>
    <v>15</v>
    <v>0</v>
  </rv>
  <rv s="0">
    <fb>15</fb>
    <v>&lt;class 'numpy.float64'&gt;</v>
    <v>float64</v>
    <v>15.0</v>
    <v>15</v>
    <v>0</v>
  </rv>
  <rv s="1">
    <fb>116</fb>
    <v>&lt;class 'int'&gt;</v>
    <v>int</v>
    <v>116</v>
    <v>116</v>
    <v>0</v>
  </rv>
  <rv s="2">
    <fb t="s" xml:space="preserve">10 + 5 = 15
This is PYTHON
Price: 12.35 </fb>
    <v>&lt;class 'str'&gt;</v>
    <v>str</v>
    <v xml:space="preserve">10 + 5 = 15
This is PYTHON
Price: 12.35 </v>
    <v xml:space="preserve">10 + 5 = 15
This is PYTHON
Price: 12.35 </v>
    <v>0</v>
  </rv>
  <rv s="2">
    <fb t="s">Positive</fb>
    <v>&lt;class 'str'&gt;</v>
    <v>str</v>
    <v>Positive</v>
    <v>Positive</v>
    <v>0</v>
  </rv>
  <rv s="3">
    <fb>0</fb>
    <v>1</v>
  </rv>
  <rv s="4">
    <fb>0</fb>
    <v>&lt;class 'NoneType'&gt;</v>
    <v>NoneType</v>
    <v>None</v>
    <v>5</v>
    <v>0</v>
  </rv>
  <rv s="2">
    <fb t="s">output: 0, 2, 4, 60, 70, 80, 90</fb>
    <v>&lt;class 'str'&gt;</v>
    <v>str</v>
    <v>output: 0, 2, 4, 60, 70, 80, 90</v>
    <v>output: 0, 2, 4, 60, 70, 80, 90</v>
    <v>0</v>
  </rv>
  <rv s="2">
    <fb t="s">Days remaining: -50</fb>
    <v>&lt;class 'str'&gt;</v>
    <v>str</v>
    <v>Days remaining: -50</v>
    <v>Days remaining: -50</v>
    <v>0</v>
  </rv>
  <rv s="2">
    <fb t="s">There are 68 working days remaining this year.</fb>
    <v>&lt;class 'str'&gt;</v>
    <v>str</v>
    <v>There are 68 working days remaining this year.</v>
    <v>There are 68 working days remaining this year.</v>
    <v>0</v>
  </rv>
  <rv s="3">
    <fb>45641</fb>
    <v>2</v>
  </rv>
  <rv s="3">
    <fb>45608</fb>
    <v>2</v>
  </rv>
  <rv s="3">
    <fb>45305</fb>
    <v>2</v>
  </rv>
  <rv s="3">
    <fb>45513</fb>
    <v>2</v>
  </rv>
  <rv s="3">
    <fb>45786</fb>
    <v>2</v>
  </rv>
  <rv s="3">
    <fb>45618</fb>
    <v>2</v>
  </rv>
  <rv s="3">
    <fb>45607</fb>
    <v>2</v>
  </rv>
  <rv s="3">
    <fb>45610</fb>
    <v>2</v>
  </rv>
  <rv s="3">
    <fb>45575</fb>
    <v>2</v>
  </rv>
  <rv s="3">
    <fb>45580</fb>
    <v>2</v>
  </rv>
  <rv s="3">
    <fb>45781</fb>
    <v>2</v>
  </rv>
  <rv s="3">
    <fb>45394</fb>
    <v>2</v>
  </rv>
  <rv s="2">
    <fb t="s">Creating the df_service dataframe</fb>
    <v>&lt;class 'str'&gt;</v>
    <v>str</v>
    <v>Creating the df_service dataframe</v>
    <v>Creating the df_service dataframe</v>
    <v>0</v>
  </rv>
  <rv s="0">
    <fb>119.8048947368421</fb>
    <v>&lt;class 'numpy.float64'&gt;</v>
    <v>float64</v>
    <v>119.8048947368421</v>
    <v>119.8048947368421</v>
    <v>0</v>
  </rv>
  <rv s="0">
    <fb>22762.93</fb>
    <v>&lt;class 'numpy.float64'&gt;</v>
    <v>float64</v>
    <v>22762.93</v>
    <v>22762.93</v>
    <v>0</v>
  </rv>
  <rv s="1">
    <fb>190</fb>
    <v>&lt;class 'numpy.int64'&gt;</v>
    <v>int64</v>
    <v>190</v>
    <v>190</v>
    <v>0</v>
  </rv>
  <rv s="2">
    <fb t="s">Creating the dfsmall dataframe</fb>
    <v>&lt;class 'str'&gt;</v>
    <v>str</v>
    <v>Creating the dfsmall dataframe</v>
    <v>Creating the dfsmall dataframe</v>
    <v>0</v>
  </rv>
  <rv s="2">
    <fb t="s">CREATION DU DATAFRAME</fb>
    <v>&lt;class 'str'&gt;</v>
    <v>str</v>
    <v>CREATION DU DATAFRAME</v>
    <v>CREATION DU DATAFRAME</v>
    <v>0</v>
  </rv>
  <rv s="5">
    <v>0</v>
    <v>9</v>
    <v>Image generated by Python</v>
  </rv>
  <rv s="6">
    <v>1</v>
    <v>9</v>
  </rv>
  <rv s="7">
    <v>0</v>
  </rv>
  <rv s="8">
    <v>Image</v>
    <v>3</v>
    <v>29</v>
    <v>30</v>
  </rv>
  <rv s="4">
    <v>&lt;class 'PIL.PngImagePlugin.PngImageFile'&gt;</v>
    <v>PngImageFile</v>
    <v>&lt;PIL.PngImagePlugin.PngImageFile image mode=RGBA size=920x489 at 0x7F0FF10E6630&gt;</v>
    <v>31</v>
    <v>0</v>
  </rv>
  <rv s="5">
    <v>2</v>
    <v>9</v>
    <v>Image generated by Python</v>
  </rv>
  <rv s="5">
    <v>3</v>
    <v>9</v>
    <v>Image generated by Python</v>
  </rv>
  <rv s="5">
    <v>4</v>
    <v>9</v>
    <v>Image generated by Python</v>
  </rv>
  <rv s="5">
    <v>5</v>
    <v>9</v>
    <v>Image generated by Python</v>
  </rv>
  <rv s="5">
    <v>6</v>
    <v>9</v>
    <v>Image generated by Python</v>
  </rv>
  <rv s="5">
    <v>7</v>
    <v>9</v>
    <v>Image generated by Python</v>
  </rv>
  <rv s="5">
    <v>8</v>
    <v>9</v>
    <v>Image generated by Python</v>
  </rv>
  <rv s="5">
    <v>9</v>
    <v>9</v>
    <v>Image generated by Python</v>
  </rv>
  <rv s="3">
    <fb>46023</fb>
    <v>2</v>
  </rv>
  <rv s="3">
    <fb>46024</fb>
    <v>2</v>
  </rv>
  <rv s="3">
    <fb>46025</fb>
    <v>2</v>
  </rv>
  <rv s="3">
    <fb>46026</fb>
    <v>2</v>
  </rv>
  <rv s="7">
    <v>1</v>
  </rv>
  <rv s="9">
    <v>DataFrame</v>
    <v>5</v>
    <v>45</v>
  </rv>
  <rv s="4">
    <v>&lt;class 'pandas.core.frame.DataFrame'&gt;</v>
    <v>DataFrame</v>
    <v xml:space="preserve">        Date Region   Product  Quantity  UnitPrice
0 2026-01-01  North    Laptop         5       1200
1 2026-01-02  South   Monitor         8        300
2 2026-01-02  North  Keyboard        15         50
3 2026-01-03   West    Laptop         3       12...</v>
    <v>46</v>
    <v>0</v>
  </rv>
  <rv s="3">
    <fb>46033</fb>
    <v>2</v>
  </rv>
  <rv s="3">
    <fb>46034</fb>
    <v>2</v>
  </rv>
  <rv s="3">
    <fb>46035</fb>
    <v>2</v>
  </rv>
  <rv s="3">
    <fb>46036</fb>
    <v>2</v>
  </rv>
  <rv s="3">
    <fb>46037</fb>
    <v>2</v>
  </rv>
  <rv s="7">
    <v>2</v>
  </rv>
  <rv s="9">
    <v>DataFrame</v>
    <v>7</v>
    <v>53</v>
  </rv>
  <rv s="4">
    <v>&lt;class 'pandas.core.frame.DataFrame'&gt;</v>
    <v>DataFrame</v>
    <v xml:space="preserve">         Date Region   Product  Quantity  UnitPrice  Revenue
0  2026-01-01  North    Laptop         5       1200     6000
1  2026-01-02  South   Monitor         8        300     2400
2  2026-01-02  North  Keyboard        15         50      750
3  2026-...</v>
    <v>54</v>
    <v>0</v>
  </rv>
  <rv s="7">
    <v>3</v>
  </rv>
  <rv s="9">
    <v>Series</v>
    <v>9</v>
    <v>56</v>
  </rv>
  <rv s="4">
    <v>&lt;class 'pandas.core.series.Series'&gt;</v>
    <v>Series</v>
    <v>Region
North    16650
East      9725
West      6550
South     3500
Name: Revenue, dtype: int64</v>
    <v>57</v>
    <v>0</v>
  </rv>
  <rv s="7">
    <v>4</v>
  </rv>
  <rv s="9">
    <v>Series</v>
    <v>9</v>
    <v>59</v>
  </rv>
  <rv s="4">
    <v>&lt;class 'pandas.core.series.Series'&gt;</v>
    <v>Series</v>
    <v>Product
Laptop      22800
Monitor      9600
Keyboard     2200
Mouse        1825
Name: Revenue, dtype: int64</v>
    <v>60</v>
    <v>0</v>
  </rv>
  <rv s="7">
    <v>5</v>
  </rv>
  <rv s="9">
    <v>DataFrame</v>
    <v>11</v>
    <v>62</v>
  </rv>
  <rv s="4">
    <v>&lt;class 'pandas.core.frame.DataFrame'&gt;</v>
    <v>DataFrame</v>
    <v xml:space="preserve">                Metric       Value
0          Total Sales  36425.0000
1  Average Transaction   2276.5625
2  Highest Transaction   7200.0000
3   Lowest Transaction    350.0000</v>
    <v>63</v>
    <v>0</v>
  </rv>
  <rv s="6">
    <v>10</v>
    <v>9</v>
  </rv>
  <rv s="7">
    <v>6</v>
  </rv>
  <rv s="8">
    <v>Image</v>
    <v>3</v>
    <v>65</v>
    <v>66</v>
  </rv>
  <rv s="4">
    <v>&lt;class 'PIL.PngImagePlugin.PngImageFile'&gt;</v>
    <v>PngImageFile</v>
    <v>&lt;PIL.PngImagePlugin.PngImageFile image mode=RGBA size=598x488 at 0x7F0FC40864B0&gt;</v>
    <v>67</v>
    <v>0</v>
  </rv>
  <rv s="7">
    <v>7</v>
  </rv>
  <rv s="9">
    <v>DataFrame</v>
    <v>13</v>
    <v>69</v>
  </rv>
  <rv s="4">
    <v>&lt;class 'pandas.core.frame.DataFrame'&gt;</v>
    <v>DataFrame</v>
    <v xml:space="preserve">         Date Region Product  Quantity  UnitPrice  Revenue
14 2026-01-14   East  Laptop         6       1200     7200</v>
    <v>70</v>
    <v>0</v>
  </rv>
  <rv s="7">
    <v>8</v>
  </rv>
  <rv s="9">
    <v>DataFrame</v>
    <v>15</v>
    <v>72</v>
  </rv>
  <rv s="4">
    <v>&lt;class 'pandas.core.frame.DataFrame'&gt;</v>
    <v>DataFrame</v>
    <v xml:space="preserve">         Insight  Result
0    Best Region   North
1   Best Product  Laptop
2  Total Revenue   36425</v>
    <v>73</v>
    <v>0</v>
  </rv>
  <rv s="7">
    <v>9</v>
  </rv>
  <rv s="9">
    <v>Series</v>
    <v>17</v>
    <v>75</v>
  </rv>
  <rv s="4">
    <v>&lt;class 'pandas.core.series.Series'&gt;</v>
    <v>Series</v>
    <v>Region
East     0.266987
North    0.457104
Name: Revenue, dtype: float64</v>
    <v>76</v>
    <v>0</v>
  </rv>
  <rv s="0">
    <fb>38246.25</fb>
    <v>&lt;class 'numpy.float64'&gt;</v>
    <v>float64</v>
    <v>38246.25</v>
    <v>38246.25</v>
    <v>0</v>
  </rv>
  <rv s="7">
    <v>10</v>
  </rv>
  <rv s="9">
    <v>Series</v>
    <v>9</v>
    <v>79</v>
  </rv>
  <rv s="4">
    <v>&lt;class 'pandas.core.series.Series'&gt;</v>
    <v>Series</v>
    <v>Product
Keyboard    3.0
Laptop      1.0
Monitor     2.0
Mouse       4.0
Name: Revenue, dtype: float64</v>
    <v>80</v>
    <v>0</v>
  </rv>
  <rv s="7">
    <v>11</v>
  </rv>
  <rv s="9">
    <v>DataFrame</v>
    <v>19</v>
    <v>82</v>
  </rv>
  <rv s="4">
    <v>&lt;class 'pandas.core.frame.DataFrame'&gt;</v>
    <v>DataFrame</v>
    <v xml:space="preserve">         Date Region   Product  Quantity  UnitPrice  Revenue  Revenue_Plus5  \
0  2026-01-01  North    Laptop         5       1200     6000        6300.00   
1  2026-01-02  South   Monitor         8        300     2400        2520.00   
2  2026-01-02  ...</v>
    <v>83</v>
    <v>0</v>
  </rv>
  <rv s="7">
    <v>12</v>
  </rv>
  <rv s="9">
    <v>DataFrame</v>
    <v>21</v>
    <v>85</v>
  </rv>
  <rv s="4">
    <v>&lt;class 'pandas.core.frame.DataFrame'&gt;</v>
    <v>DataFrame</v>
    <v xml:space="preserve">             Metric   Value
0  Total Bonus Paid  2270.5</v>
    <v>86</v>
    <v>0</v>
  </rv>
</rvData>
</file>

<file path=xl/richData/rdrichvaluestructure.xml><?xml version="1.0" encoding="utf-8"?>
<rvStructures xmlns="http://schemas.microsoft.com/office/spreadsheetml/2017/richdata" count="10">
  <s t="_python">
    <k n="Python_type" t="s"/>
    <k n="Python_typeName" t="s"/>
    <k n="Python_str" t="s"/>
    <k n="basicValue"/>
    <k n="_Provider" t="spb"/>
  </s>
  <s t="_python">
    <k n="Python_type" t="s"/>
    <k n="Python_typeName" t="s"/>
    <k n="Python_str" t="s"/>
    <k n="basicValue" t="i"/>
    <k n="_Provider" t="spb"/>
  </s>
  <s t="_python">
    <k n="Python_type" t="s"/>
    <k n="Python_typeName" t="s"/>
    <k n="Python_str" t="s"/>
    <k n="basicValue" t="s"/>
    <k n="_Provider" t="spb"/>
  </s>
  <s t="_formattednumber">
    <k n="_Format" t="spb"/>
  </s>
  <s t="_python">
    <k n="Python_type" t="s"/>
    <k n="Python_typeName" t="s"/>
    <k n="Python_str" t="s"/>
    <k n="preview" t="r"/>
    <k n="_Provider" t="spb"/>
  </s>
  <s t="_localImage">
    <k n="_rvRel:LocalImageIdentifier" t="i"/>
    <k n="CalcOrigin" t="i"/>
    <k n="Text" t="s"/>
  </s>
  <s t="_localImage">
    <k n="_rvRel:LocalImageIdentifier" t="i"/>
    <k n="CalcOrigin" t="i"/>
  </s>
  <s t="_array">
    <k n="array" t="a"/>
  </s>
  <s t="_entity">
    <k n="_DisplayString" t="s"/>
    <k n="_Format" t="spb"/>
    <k n="image" t="r"/>
    <k n="size" t="r"/>
  </s>
  <s t="_entity">
    <k n="_DisplayString" t="s"/>
    <k n="_ViewInfo" t="spb"/>
    <k n="arrayPreview" t="r"/>
  </s>
</rvStructures>
</file>

<file path=xl/richData/rdsupportingpropertybag.xml><?xml version="1.0" encoding="utf-8"?>
<supportingPropertyBags xmlns="http://schemas.microsoft.com/office/spreadsheetml/2017/richdata2">
  <spbData count="22">
    <spb s="0">
      <v>https://www.anaconda.com/excel</v>
      <v>https://res.cdn.office.net/officepysvc/prod-service/anacondalogo.png</v>
      <v>Python provided by Anaconda</v>
    </spb>
    <spb s="1">
      <v>1</v>
    </spb>
    <spb s="1">
      <v>2</v>
    </spb>
    <spb s="2">
      <v>3</v>
    </spb>
    <spb s="3">
      <v>5</v>
      <v>5</v>
      <v>DataFrame</v>
      <v>arrayPreview</v>
      <v>1</v>
    </spb>
    <spb s="4">
      <v>4</v>
    </spb>
    <spb s="3">
      <v>16</v>
      <v>6</v>
      <v>DataFrame</v>
      <v>arrayPreview</v>
      <v>1</v>
    </spb>
    <spb s="4">
      <v>6</v>
    </spb>
    <spb s="3">
      <v>4</v>
      <v>1</v>
      <v>Series</v>
      <v>arrayPreview</v>
      <v>1</v>
    </spb>
    <spb s="4">
      <v>8</v>
    </spb>
    <spb s="3">
      <v>4</v>
      <v>2</v>
      <v>DataFrame</v>
      <v>arrayPreview</v>
      <v>1</v>
    </spb>
    <spb s="4">
      <v>10</v>
    </spb>
    <spb s="3">
      <v>1</v>
      <v>6</v>
      <v>DataFrame</v>
      <v>arrayPreview</v>
      <v>1</v>
    </spb>
    <spb s="4">
      <v>12</v>
    </spb>
    <spb s="3">
      <v>3</v>
      <v>2</v>
      <v>DataFrame</v>
      <v>arrayPreview</v>
      <v>1</v>
    </spb>
    <spb s="4">
      <v>14</v>
    </spb>
    <spb s="3">
      <v>2</v>
      <v>1</v>
      <v>Series</v>
      <v>arrayPreview</v>
      <v>1</v>
    </spb>
    <spb s="4">
      <v>16</v>
    </spb>
    <spb s="3">
      <v>16</v>
      <v>8</v>
      <v>DataFrame</v>
      <v>arrayPreview</v>
      <v>1</v>
    </spb>
    <spb s="4">
      <v>18</v>
    </spb>
    <spb s="3">
      <v>1</v>
      <v>2</v>
      <v>DataFrame</v>
      <v>arrayPreview</v>
      <v>1</v>
    </spb>
    <spb s="4">
      <v>20</v>
    </spb>
  </spbData>
</supportingPropertyBags>
</file>

<file path=xl/richData/rdsupportingpropertybagstructure.xml><?xml version="1.0" encoding="utf-8"?>
<spbStructures xmlns="http://schemas.microsoft.com/office/spreadsheetml/2017/richdata2" count="5">
  <s>
    <k n="link" t="s"/>
    <k n="logo" t="s"/>
    <k n="name" t="s"/>
  </s>
  <s>
    <k n="_Self" t="i"/>
  </s>
  <s>
    <k n="image" t="i"/>
  </s>
  <s>
    <k n="drw" t="i"/>
    <k n="dcol" t="i"/>
    <k n="name" t="s"/>
    <k n="array" t="s"/>
    <k n="headers" t="b"/>
  </s>
  <s>
    <k n="ArrayCard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Pr n="IsHeroField" t="b"/>
  </richProperties>
  <richStyles>
    <rSty dxfid="1">
      <rpv i="0">0;-0;"None"</rpv>
    </rSty>
    <rSty dxfid="0"/>
    <rSty>
      <rpv i="1">1</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92103-9854-47B7-B4F5-F3DAB6610981}" name="tbl_service" displayName="tbl_service" ref="A9:G199" totalsRowShown="0">
  <autoFilter ref="A9:G199" xr:uid="{D5592103-9854-47B7-B4F5-F3DAB6610981}"/>
  <tableColumns count="7">
    <tableColumn id="1" xr3:uid="{B28C4B1D-63A0-4CFD-979A-F2ED3E238207}" name="id_order"/>
    <tableColumn id="2" xr3:uid="{5FF3FA5E-C5B2-48CA-AE22-95C4D8813B12}" name="id_store"/>
    <tableColumn id="3" xr3:uid="{5E36C491-8489-49B5-82B8-14581BCF1E1A}" name="date_opened" dataDxfId="2"/>
    <tableColumn id="4" xr3:uid="{431904C6-C472-46B2-99E5-2BD08657BF82}" name="date_closed" dataDxfId="1"/>
    <tableColumn id="6" xr3:uid="{D3D42A69-3727-4093-90BE-2BF798000FAE}" name="m_nb_customer"/>
    <tableColumn id="7" xr3:uid="{1AC8D69F-EDE6-4AC7-ABA3-9A774882B2F8}" name="m_cached_payed"/>
    <tableColumn id="8" xr3:uid="{9F4BE1A8-F3EE-4110-A4ED-DB62232ADB98}" name="m_cached_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4688B-FA9E-4695-9B70-20D583D03E2F}" name="Table1" displayName="Table1" ref="B4:G16" totalsRowShown="0">
  <autoFilter ref="B4:G16" xr:uid="{E030A3AD-E1F8-4510-80B7-C5AD8ABCEF5B}"/>
  <tableColumns count="6">
    <tableColumn id="1" xr3:uid="{78737DE6-5531-4A57-A2DA-1AAC71D379E0}" name="Training"/>
    <tableColumn id="2" xr3:uid="{BA2E5B1F-8F99-4F0F-AF3F-201653CCFEA5}" name="Level"/>
    <tableColumn id="3" xr3:uid="{6A5AB09A-B0C8-4CDE-886E-4888559B8C26}" name="Q1"/>
    <tableColumn id="4" xr3:uid="{2D50C1E8-5E52-4EF3-BB66-1C8F025F5360}" name="Q2"/>
    <tableColumn id="5" xr3:uid="{B39FF045-B1CF-4234-B766-E072E1E29B88}" name="Q3"/>
    <tableColumn id="6" xr3:uid="{E72A709B-84CA-4888-ABEC-66320F750FC4}" name="Q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C16EB7-08E3-4099-B07B-B8FDCCF509AF}" name="Table3" displayName="Table3" ref="A6:E22" totalsRowShown="0" headerRowBorderDxfId="9" tableBorderDxfId="8">
  <autoFilter ref="A6:E22" xr:uid="{4DC16EB7-08E3-4099-B07B-B8FDCCF509AF}"/>
  <tableColumns count="5">
    <tableColumn id="1" xr3:uid="{12BB3B5C-D977-4026-929F-E517FD6DF1F6}" name="Date" dataDxfId="7"/>
    <tableColumn id="2" xr3:uid="{DA902814-8D84-46FE-A7A0-C5C8CCEA2E73}" name="Region" dataDxfId="6"/>
    <tableColumn id="3" xr3:uid="{790CE236-B6A8-4BB6-8FC4-87EE38594875}" name="Product" dataDxfId="5"/>
    <tableColumn id="4" xr3:uid="{925B9350-F15A-45F7-9BDC-C7ED8703347F}" name="Quantity" dataDxfId="4"/>
    <tableColumn id="5" xr3:uid="{ED61ED6D-A9C8-4DB0-9619-86B5AF9B9C40}" name="UnitPric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A4E4099-6508-4BB4-A61C-8DC875BD3C93}">
  <we:reference id="WA200007447" version="1.0.0.0" store="Omex"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2.xml><?xml version="1.0" encoding="utf-8"?>
<we:webextension xmlns:we="http://schemas.microsoft.com/office/webextensions/webextension/2010/11" id="{D7FA6AAD-CADB-4358-B603-9DBD5DF67B6A}">
  <we:reference id="wa200003696" version="1.3.0.0" store="fr-FR"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3.xml><?xml version="1.0" encoding="utf-8"?>
<we:webextension xmlns:we="http://schemas.microsoft.com/office/webextensions/webextension/2010/11" id="{A143B513-F885-4EC2-A824-1DBA8143472E}">
  <we:reference id="wa200005271" version="3.0.0.4" store="fr-FR"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jupyterlite.github.io/demo/lab/" TargetMode="External"/><Relationship Id="rId1" Type="http://schemas.openxmlformats.org/officeDocument/2006/relationships/hyperlink" Target="https://seaborn.pydata.org/tutorial.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pandas.pydata.org/docs/reference/frame.html"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seaborn.pydata.org/tutorial.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E49A-297A-4683-B887-B0A894322417}">
  <dimension ref="A1:N199"/>
  <sheetViews>
    <sheetView topLeftCell="A9" workbookViewId="0">
      <selection activeCell="B9" sqref="B9"/>
    </sheetView>
  </sheetViews>
  <sheetFormatPr defaultColWidth="11.5703125" defaultRowHeight="15" x14ac:dyDescent="0.25"/>
  <cols>
    <col min="1" max="1" width="15.85546875" bestFit="1" customWidth="1"/>
    <col min="2" max="2" width="10.42578125" customWidth="1"/>
    <col min="3" max="4" width="22.140625" bestFit="1" customWidth="1"/>
    <col min="5" max="5" width="26.140625" bestFit="1" customWidth="1"/>
    <col min="6" max="6" width="17.42578125" customWidth="1"/>
    <col min="7" max="7" width="18.42578125" customWidth="1"/>
    <col min="8" max="8" width="17.5703125" customWidth="1"/>
  </cols>
  <sheetData>
    <row r="1" spans="1:14" x14ac:dyDescent="0.25">
      <c r="E1" t="s">
        <v>503</v>
      </c>
    </row>
    <row r="2" spans="1:14" x14ac:dyDescent="0.25">
      <c r="A2" t="s">
        <v>501</v>
      </c>
      <c r="B2" s="4">
        <v>8.1000000000000003E-2</v>
      </c>
      <c r="E2">
        <v>1</v>
      </c>
      <c r="F2">
        <v>2</v>
      </c>
      <c r="G2">
        <v>3</v>
      </c>
      <c r="H2">
        <v>4</v>
      </c>
      <c r="J2">
        <v>6</v>
      </c>
      <c r="K2">
        <v>7</v>
      </c>
      <c r="L2">
        <v>8</v>
      </c>
      <c r="M2">
        <v>9</v>
      </c>
      <c r="N2">
        <v>10</v>
      </c>
    </row>
    <row r="4" spans="1:14" x14ac:dyDescent="0.25">
      <c r="A4" t="s">
        <v>502</v>
      </c>
      <c r="B4" s="5">
        <v>0.10249999999999999</v>
      </c>
      <c r="E4" t="s">
        <v>504</v>
      </c>
      <c r="F4">
        <v>100</v>
      </c>
    </row>
    <row r="9" spans="1:14" x14ac:dyDescent="0.25">
      <c r="A9" t="s">
        <v>1</v>
      </c>
      <c r="B9" t="s">
        <v>2</v>
      </c>
      <c r="C9" t="s">
        <v>3</v>
      </c>
      <c r="D9" t="s">
        <v>4</v>
      </c>
      <c r="E9" t="s">
        <v>5</v>
      </c>
      <c r="F9" t="s">
        <v>6</v>
      </c>
      <c r="G9" t="s">
        <v>7</v>
      </c>
    </row>
    <row r="10" spans="1:14" x14ac:dyDescent="0.25">
      <c r="A10">
        <v>55538867</v>
      </c>
      <c r="B10">
        <v>8052</v>
      </c>
      <c r="C10" s="12" t="s">
        <v>8</v>
      </c>
      <c r="D10" s="12" t="s">
        <v>9</v>
      </c>
      <c r="E10">
        <v>4</v>
      </c>
      <c r="F10">
        <v>182</v>
      </c>
      <c r="G10">
        <v>182</v>
      </c>
      <c r="J10" s="12"/>
    </row>
    <row r="11" spans="1:14" x14ac:dyDescent="0.25">
      <c r="A11">
        <v>56035309</v>
      </c>
      <c r="B11">
        <v>8052</v>
      </c>
      <c r="C11" s="12" t="s">
        <v>10</v>
      </c>
      <c r="D11" s="12" t="s">
        <v>11</v>
      </c>
      <c r="E11">
        <v>2</v>
      </c>
      <c r="F11">
        <v>49.8</v>
      </c>
      <c r="G11">
        <v>49.8</v>
      </c>
    </row>
    <row r="12" spans="1:14" x14ac:dyDescent="0.25">
      <c r="A12">
        <v>55550051</v>
      </c>
      <c r="B12">
        <v>8104</v>
      </c>
      <c r="C12" s="12" t="s">
        <v>12</v>
      </c>
      <c r="D12" s="12" t="s">
        <v>13</v>
      </c>
      <c r="E12">
        <v>4</v>
      </c>
      <c r="F12">
        <v>109.6</v>
      </c>
      <c r="G12">
        <v>109.6</v>
      </c>
    </row>
    <row r="13" spans="1:14" x14ac:dyDescent="0.25">
      <c r="A13">
        <v>57000119</v>
      </c>
      <c r="B13">
        <v>8052</v>
      </c>
      <c r="C13" s="12" t="s">
        <v>14</v>
      </c>
      <c r="D13" s="12" t="s">
        <v>15</v>
      </c>
      <c r="E13">
        <v>3</v>
      </c>
      <c r="F13">
        <v>60</v>
      </c>
      <c r="G13">
        <v>60</v>
      </c>
    </row>
    <row r="14" spans="1:14" x14ac:dyDescent="0.25">
      <c r="A14">
        <v>55558817</v>
      </c>
      <c r="B14">
        <v>8104</v>
      </c>
      <c r="C14" s="12" t="s">
        <v>16</v>
      </c>
      <c r="D14" s="12" t="s">
        <v>17</v>
      </c>
      <c r="E14">
        <v>2</v>
      </c>
      <c r="F14">
        <v>39.9</v>
      </c>
      <c r="G14">
        <v>39.9</v>
      </c>
    </row>
    <row r="15" spans="1:14" x14ac:dyDescent="0.25">
      <c r="A15">
        <v>55451477</v>
      </c>
      <c r="B15">
        <v>8052</v>
      </c>
      <c r="C15" s="12" t="s">
        <v>18</v>
      </c>
      <c r="D15" s="12" t="s">
        <v>19</v>
      </c>
      <c r="E15">
        <v>4</v>
      </c>
      <c r="F15">
        <v>100</v>
      </c>
      <c r="G15">
        <v>100</v>
      </c>
      <c r="J15" s="11"/>
    </row>
    <row r="16" spans="1:14" x14ac:dyDescent="0.25">
      <c r="A16">
        <v>56030563</v>
      </c>
      <c r="B16">
        <v>8320</v>
      </c>
      <c r="C16" s="12" t="s">
        <v>20</v>
      </c>
      <c r="D16" s="12" t="s">
        <v>21</v>
      </c>
      <c r="E16">
        <v>7</v>
      </c>
      <c r="F16">
        <v>220.7</v>
      </c>
      <c r="G16">
        <v>220.7</v>
      </c>
    </row>
    <row r="17" spans="1:7" x14ac:dyDescent="0.25">
      <c r="A17">
        <v>56310086</v>
      </c>
      <c r="B17">
        <v>8052</v>
      </c>
      <c r="C17" s="12" t="s">
        <v>22</v>
      </c>
      <c r="D17" s="12" t="s">
        <v>23</v>
      </c>
      <c r="E17">
        <v>4</v>
      </c>
      <c r="F17">
        <v>444</v>
      </c>
      <c r="G17">
        <v>444</v>
      </c>
    </row>
    <row r="18" spans="1:7" x14ac:dyDescent="0.25">
      <c r="A18">
        <v>54326699</v>
      </c>
      <c r="B18">
        <v>8104</v>
      </c>
      <c r="C18" s="12" t="s">
        <v>24</v>
      </c>
      <c r="D18" s="12" t="s">
        <v>25</v>
      </c>
      <c r="E18">
        <v>3</v>
      </c>
      <c r="F18">
        <v>41</v>
      </c>
      <c r="G18">
        <v>41</v>
      </c>
    </row>
    <row r="19" spans="1:7" x14ac:dyDescent="0.25">
      <c r="A19">
        <v>56479526</v>
      </c>
      <c r="B19">
        <v>8052</v>
      </c>
      <c r="C19" s="12" t="s">
        <v>26</v>
      </c>
      <c r="D19" s="12" t="s">
        <v>27</v>
      </c>
      <c r="E19">
        <v>3</v>
      </c>
      <c r="F19">
        <v>33.9</v>
      </c>
      <c r="G19">
        <v>33.9</v>
      </c>
    </row>
    <row r="20" spans="1:7" x14ac:dyDescent="0.25">
      <c r="A20">
        <v>54772362</v>
      </c>
      <c r="B20">
        <v>8052</v>
      </c>
      <c r="C20" s="12" t="s">
        <v>28</v>
      </c>
      <c r="D20" s="12" t="s">
        <v>29</v>
      </c>
      <c r="E20">
        <v>3</v>
      </c>
      <c r="F20">
        <v>57</v>
      </c>
      <c r="G20">
        <v>57</v>
      </c>
    </row>
    <row r="21" spans="1:7" x14ac:dyDescent="0.25">
      <c r="A21">
        <v>55577942</v>
      </c>
      <c r="B21">
        <v>8052</v>
      </c>
      <c r="C21" s="12" t="s">
        <v>30</v>
      </c>
      <c r="D21" s="12" t="s">
        <v>31</v>
      </c>
      <c r="E21">
        <v>2</v>
      </c>
      <c r="F21">
        <v>30.5</v>
      </c>
      <c r="G21">
        <v>30.5</v>
      </c>
    </row>
    <row r="22" spans="1:7" x14ac:dyDescent="0.25">
      <c r="A22">
        <v>56335446</v>
      </c>
      <c r="B22">
        <v>8052</v>
      </c>
      <c r="C22" s="12" t="s">
        <v>32</v>
      </c>
      <c r="D22" s="12" t="s">
        <v>33</v>
      </c>
      <c r="E22">
        <v>3</v>
      </c>
      <c r="F22">
        <v>44.9</v>
      </c>
      <c r="G22">
        <v>44.9</v>
      </c>
    </row>
    <row r="23" spans="1:7" x14ac:dyDescent="0.25">
      <c r="A23">
        <v>55055516</v>
      </c>
      <c r="B23">
        <v>8052</v>
      </c>
      <c r="C23" s="12" t="s">
        <v>34</v>
      </c>
      <c r="D23" s="12" t="s">
        <v>35</v>
      </c>
      <c r="E23">
        <v>4</v>
      </c>
      <c r="F23">
        <v>108</v>
      </c>
      <c r="G23">
        <v>108</v>
      </c>
    </row>
    <row r="24" spans="1:7" x14ac:dyDescent="0.25">
      <c r="A24">
        <v>54332155</v>
      </c>
      <c r="B24">
        <v>8052</v>
      </c>
      <c r="C24" s="12" t="s">
        <v>36</v>
      </c>
      <c r="D24" s="12" t="s">
        <v>37</v>
      </c>
      <c r="E24">
        <v>3</v>
      </c>
      <c r="F24">
        <v>55</v>
      </c>
      <c r="G24">
        <v>55</v>
      </c>
    </row>
    <row r="25" spans="1:7" x14ac:dyDescent="0.25">
      <c r="A25">
        <v>55578358</v>
      </c>
      <c r="B25">
        <v>8052</v>
      </c>
      <c r="C25" s="12" t="s">
        <v>38</v>
      </c>
      <c r="D25" s="12" t="s">
        <v>39</v>
      </c>
      <c r="E25">
        <v>3</v>
      </c>
      <c r="F25">
        <v>37.9</v>
      </c>
      <c r="G25">
        <v>37.9</v>
      </c>
    </row>
    <row r="26" spans="1:7" x14ac:dyDescent="0.25">
      <c r="A26">
        <v>55550015</v>
      </c>
      <c r="B26">
        <v>8104</v>
      </c>
      <c r="C26" s="12" t="s">
        <v>95</v>
      </c>
      <c r="D26" s="12" t="s">
        <v>96</v>
      </c>
      <c r="E26">
        <v>7</v>
      </c>
      <c r="F26">
        <v>118.3</v>
      </c>
      <c r="G26">
        <v>118.3</v>
      </c>
    </row>
    <row r="27" spans="1:7" x14ac:dyDescent="0.25">
      <c r="A27">
        <v>54514779</v>
      </c>
      <c r="B27">
        <v>8052</v>
      </c>
      <c r="C27" s="12" t="s">
        <v>97</v>
      </c>
      <c r="D27" s="12" t="s">
        <v>98</v>
      </c>
      <c r="E27">
        <v>4</v>
      </c>
      <c r="F27">
        <v>192</v>
      </c>
      <c r="G27">
        <v>192</v>
      </c>
    </row>
    <row r="28" spans="1:7" x14ac:dyDescent="0.25">
      <c r="A28">
        <v>54398637</v>
      </c>
      <c r="B28">
        <v>8052</v>
      </c>
      <c r="C28" s="12" t="s">
        <v>99</v>
      </c>
      <c r="D28" s="12" t="s">
        <v>100</v>
      </c>
      <c r="E28">
        <v>7</v>
      </c>
      <c r="F28">
        <v>66.8</v>
      </c>
      <c r="G28">
        <v>66.8</v>
      </c>
    </row>
    <row r="29" spans="1:7" x14ac:dyDescent="0.25">
      <c r="A29">
        <v>57146776</v>
      </c>
      <c r="B29">
        <v>8104</v>
      </c>
      <c r="C29" s="12" t="s">
        <v>101</v>
      </c>
      <c r="D29" s="12" t="s">
        <v>102</v>
      </c>
      <c r="E29">
        <v>6</v>
      </c>
      <c r="F29">
        <v>99.3</v>
      </c>
      <c r="G29">
        <v>99.3</v>
      </c>
    </row>
    <row r="30" spans="1:7" x14ac:dyDescent="0.25">
      <c r="A30">
        <v>57014449</v>
      </c>
      <c r="B30">
        <v>8052</v>
      </c>
      <c r="C30" s="12" t="s">
        <v>103</v>
      </c>
      <c r="D30" s="12" t="s">
        <v>104</v>
      </c>
      <c r="E30">
        <v>2</v>
      </c>
      <c r="F30">
        <v>38.07</v>
      </c>
      <c r="G30">
        <v>38.07</v>
      </c>
    </row>
    <row r="31" spans="1:7" x14ac:dyDescent="0.25">
      <c r="A31">
        <v>57132831</v>
      </c>
      <c r="B31">
        <v>8320</v>
      </c>
      <c r="C31" s="12" t="s">
        <v>105</v>
      </c>
      <c r="D31" s="12" t="s">
        <v>106</v>
      </c>
      <c r="E31">
        <v>4</v>
      </c>
      <c r="F31">
        <v>130</v>
      </c>
      <c r="G31">
        <v>130</v>
      </c>
    </row>
    <row r="32" spans="1:7" x14ac:dyDescent="0.25">
      <c r="A32">
        <v>54680033</v>
      </c>
      <c r="B32">
        <v>8320</v>
      </c>
      <c r="C32" s="12" t="s">
        <v>107</v>
      </c>
      <c r="D32" s="12" t="s">
        <v>108</v>
      </c>
      <c r="E32">
        <v>4</v>
      </c>
      <c r="F32">
        <v>58.8</v>
      </c>
      <c r="G32">
        <v>58.8</v>
      </c>
    </row>
    <row r="33" spans="1:7" x14ac:dyDescent="0.25">
      <c r="A33">
        <v>55437174</v>
      </c>
      <c r="B33">
        <v>8052</v>
      </c>
      <c r="C33" s="12" t="s">
        <v>109</v>
      </c>
      <c r="D33" s="12" t="s">
        <v>110</v>
      </c>
      <c r="E33">
        <v>3</v>
      </c>
      <c r="F33">
        <v>67.5</v>
      </c>
      <c r="G33">
        <v>67.5</v>
      </c>
    </row>
    <row r="34" spans="1:7" x14ac:dyDescent="0.25">
      <c r="A34">
        <v>54775385</v>
      </c>
      <c r="B34">
        <v>8052</v>
      </c>
      <c r="C34" s="12" t="s">
        <v>111</v>
      </c>
      <c r="D34" s="12" t="s">
        <v>112</v>
      </c>
      <c r="E34">
        <v>2</v>
      </c>
      <c r="F34">
        <v>22.8</v>
      </c>
      <c r="G34">
        <v>22.8</v>
      </c>
    </row>
    <row r="35" spans="1:7" x14ac:dyDescent="0.25">
      <c r="A35">
        <v>55055160</v>
      </c>
      <c r="B35">
        <v>8104</v>
      </c>
      <c r="C35" s="12" t="s">
        <v>113</v>
      </c>
      <c r="D35" s="12" t="s">
        <v>114</v>
      </c>
      <c r="E35">
        <v>3</v>
      </c>
      <c r="F35">
        <v>41.5</v>
      </c>
      <c r="G35">
        <v>41.5</v>
      </c>
    </row>
    <row r="36" spans="1:7" x14ac:dyDescent="0.25">
      <c r="A36">
        <v>54642312</v>
      </c>
      <c r="B36">
        <v>8320</v>
      </c>
      <c r="C36" s="12" t="s">
        <v>115</v>
      </c>
      <c r="D36" s="12" t="s">
        <v>116</v>
      </c>
      <c r="E36">
        <v>4</v>
      </c>
      <c r="F36">
        <v>50</v>
      </c>
      <c r="G36">
        <v>50</v>
      </c>
    </row>
    <row r="37" spans="1:7" x14ac:dyDescent="0.25">
      <c r="A37">
        <v>54327721</v>
      </c>
      <c r="B37">
        <v>8052</v>
      </c>
      <c r="C37" s="12" t="s">
        <v>117</v>
      </c>
      <c r="D37" s="12" t="s">
        <v>118</v>
      </c>
      <c r="E37">
        <v>2</v>
      </c>
      <c r="F37">
        <v>11.5</v>
      </c>
      <c r="G37">
        <v>11.5</v>
      </c>
    </row>
    <row r="38" spans="1:7" x14ac:dyDescent="0.25">
      <c r="A38">
        <v>54781267</v>
      </c>
      <c r="B38">
        <v>8052</v>
      </c>
      <c r="C38" s="12" t="s">
        <v>119</v>
      </c>
      <c r="D38" s="12" t="s">
        <v>120</v>
      </c>
      <c r="E38">
        <v>2</v>
      </c>
      <c r="F38">
        <v>66.400000000000006</v>
      </c>
      <c r="G38">
        <v>66.400000000000006</v>
      </c>
    </row>
    <row r="39" spans="1:7" x14ac:dyDescent="0.25">
      <c r="A39">
        <v>123461142</v>
      </c>
      <c r="B39">
        <v>9084</v>
      </c>
      <c r="C39" t="s">
        <v>124</v>
      </c>
      <c r="D39" t="s">
        <v>125</v>
      </c>
      <c r="E39">
        <v>4</v>
      </c>
      <c r="F39">
        <v>124</v>
      </c>
      <c r="G39">
        <v>124</v>
      </c>
    </row>
    <row r="40" spans="1:7" x14ac:dyDescent="0.25">
      <c r="A40">
        <v>131463382</v>
      </c>
      <c r="B40">
        <v>8283</v>
      </c>
      <c r="C40" t="s">
        <v>126</v>
      </c>
      <c r="D40" t="s">
        <v>127</v>
      </c>
      <c r="E40">
        <v>4</v>
      </c>
      <c r="F40">
        <v>55.2</v>
      </c>
      <c r="G40">
        <v>55.2</v>
      </c>
    </row>
    <row r="41" spans="1:7" x14ac:dyDescent="0.25">
      <c r="A41">
        <v>117969843</v>
      </c>
      <c r="B41">
        <v>8283</v>
      </c>
      <c r="C41" t="s">
        <v>128</v>
      </c>
      <c r="D41" t="s">
        <v>129</v>
      </c>
      <c r="E41">
        <v>4</v>
      </c>
      <c r="F41">
        <v>223.2</v>
      </c>
      <c r="G41">
        <v>223.2</v>
      </c>
    </row>
    <row r="42" spans="1:7" x14ac:dyDescent="0.25">
      <c r="A42">
        <v>105420729</v>
      </c>
      <c r="B42">
        <v>8283</v>
      </c>
      <c r="C42" t="s">
        <v>130</v>
      </c>
      <c r="D42" t="s">
        <v>131</v>
      </c>
      <c r="E42">
        <v>4</v>
      </c>
      <c r="F42">
        <v>195.6</v>
      </c>
      <c r="G42">
        <v>195.6</v>
      </c>
    </row>
    <row r="43" spans="1:7" x14ac:dyDescent="0.25">
      <c r="A43">
        <v>114062136</v>
      </c>
      <c r="B43">
        <v>8283</v>
      </c>
      <c r="C43" t="s">
        <v>132</v>
      </c>
      <c r="D43" t="s">
        <v>133</v>
      </c>
      <c r="E43">
        <v>4</v>
      </c>
      <c r="F43">
        <v>271.2</v>
      </c>
      <c r="G43">
        <v>271.2</v>
      </c>
    </row>
    <row r="44" spans="1:7" x14ac:dyDescent="0.25">
      <c r="A44">
        <v>104772073</v>
      </c>
      <c r="B44">
        <v>8283</v>
      </c>
      <c r="C44" t="s">
        <v>134</v>
      </c>
      <c r="D44" t="s">
        <v>135</v>
      </c>
      <c r="E44">
        <v>4</v>
      </c>
      <c r="F44">
        <v>118</v>
      </c>
      <c r="G44">
        <v>118</v>
      </c>
    </row>
    <row r="45" spans="1:7" x14ac:dyDescent="0.25">
      <c r="A45">
        <v>104950707</v>
      </c>
      <c r="B45">
        <v>8283</v>
      </c>
      <c r="C45" t="s">
        <v>136</v>
      </c>
      <c r="D45" t="s">
        <v>137</v>
      </c>
      <c r="E45">
        <v>4</v>
      </c>
      <c r="F45">
        <v>191.2</v>
      </c>
      <c r="G45">
        <v>191.2</v>
      </c>
    </row>
    <row r="46" spans="1:7" x14ac:dyDescent="0.25">
      <c r="A46">
        <v>113812871</v>
      </c>
      <c r="B46">
        <v>9084</v>
      </c>
      <c r="C46" t="s">
        <v>138</v>
      </c>
      <c r="D46" t="s">
        <v>139</v>
      </c>
      <c r="E46">
        <v>1</v>
      </c>
      <c r="F46">
        <v>251</v>
      </c>
      <c r="G46">
        <v>251</v>
      </c>
    </row>
    <row r="47" spans="1:7" x14ac:dyDescent="0.25">
      <c r="A47">
        <v>118378144</v>
      </c>
      <c r="B47">
        <v>8283</v>
      </c>
      <c r="C47" t="s">
        <v>140</v>
      </c>
      <c r="D47" t="s">
        <v>141</v>
      </c>
      <c r="E47">
        <v>4</v>
      </c>
      <c r="F47">
        <v>23.6</v>
      </c>
      <c r="G47">
        <v>23.6</v>
      </c>
    </row>
    <row r="48" spans="1:7" x14ac:dyDescent="0.25">
      <c r="A48">
        <v>123653057</v>
      </c>
      <c r="B48">
        <v>8283</v>
      </c>
      <c r="C48" t="s">
        <v>142</v>
      </c>
      <c r="D48" t="s">
        <v>143</v>
      </c>
      <c r="E48">
        <v>4</v>
      </c>
      <c r="F48">
        <v>244</v>
      </c>
      <c r="G48">
        <v>244</v>
      </c>
    </row>
    <row r="49" spans="1:7" x14ac:dyDescent="0.25">
      <c r="A49">
        <v>133929508</v>
      </c>
      <c r="B49">
        <v>8283</v>
      </c>
      <c r="C49" t="s">
        <v>144</v>
      </c>
      <c r="D49" t="s">
        <v>145</v>
      </c>
      <c r="E49">
        <v>4</v>
      </c>
      <c r="F49">
        <v>366.8</v>
      </c>
      <c r="G49">
        <v>366.8</v>
      </c>
    </row>
    <row r="50" spans="1:7" x14ac:dyDescent="0.25">
      <c r="A50">
        <v>122222279</v>
      </c>
      <c r="B50">
        <v>9084</v>
      </c>
      <c r="C50" t="s">
        <v>146</v>
      </c>
      <c r="D50" t="s">
        <v>147</v>
      </c>
      <c r="E50">
        <v>4</v>
      </c>
      <c r="F50">
        <v>198</v>
      </c>
      <c r="G50">
        <v>198</v>
      </c>
    </row>
    <row r="51" spans="1:7" x14ac:dyDescent="0.25">
      <c r="A51">
        <v>123675359</v>
      </c>
      <c r="B51">
        <v>8283</v>
      </c>
      <c r="C51" t="s">
        <v>148</v>
      </c>
      <c r="D51" t="s">
        <v>149</v>
      </c>
      <c r="E51">
        <v>4</v>
      </c>
      <c r="F51">
        <v>200</v>
      </c>
      <c r="G51">
        <v>200</v>
      </c>
    </row>
    <row r="52" spans="1:7" x14ac:dyDescent="0.25">
      <c r="A52">
        <v>110553673</v>
      </c>
      <c r="B52">
        <v>9084</v>
      </c>
      <c r="C52" t="s">
        <v>150</v>
      </c>
      <c r="D52" t="s">
        <v>151</v>
      </c>
      <c r="E52">
        <v>3</v>
      </c>
      <c r="F52">
        <v>79</v>
      </c>
      <c r="G52">
        <v>79</v>
      </c>
    </row>
    <row r="53" spans="1:7" x14ac:dyDescent="0.25">
      <c r="A53">
        <v>113202268</v>
      </c>
      <c r="B53">
        <v>8283</v>
      </c>
      <c r="C53" t="s">
        <v>152</v>
      </c>
      <c r="D53" t="s">
        <v>153</v>
      </c>
      <c r="E53">
        <v>4</v>
      </c>
      <c r="F53">
        <v>100</v>
      </c>
      <c r="G53">
        <v>100</v>
      </c>
    </row>
    <row r="54" spans="1:7" x14ac:dyDescent="0.25">
      <c r="A54">
        <v>97235962</v>
      </c>
      <c r="B54">
        <v>9084</v>
      </c>
      <c r="C54" t="s">
        <v>154</v>
      </c>
      <c r="D54" t="s">
        <v>155</v>
      </c>
      <c r="E54">
        <v>3</v>
      </c>
      <c r="F54">
        <v>39</v>
      </c>
      <c r="G54">
        <v>39</v>
      </c>
    </row>
    <row r="55" spans="1:7" x14ac:dyDescent="0.25">
      <c r="A55">
        <v>122419414</v>
      </c>
      <c r="B55">
        <v>9084</v>
      </c>
      <c r="C55" t="s">
        <v>156</v>
      </c>
      <c r="D55" t="s">
        <v>157</v>
      </c>
      <c r="E55">
        <v>2</v>
      </c>
      <c r="F55">
        <v>37</v>
      </c>
      <c r="G55">
        <v>37</v>
      </c>
    </row>
    <row r="56" spans="1:7" x14ac:dyDescent="0.25">
      <c r="A56">
        <v>124375407</v>
      </c>
      <c r="B56">
        <v>9084</v>
      </c>
      <c r="C56" t="s">
        <v>158</v>
      </c>
      <c r="D56" t="s">
        <v>159</v>
      </c>
      <c r="E56">
        <v>4</v>
      </c>
      <c r="F56">
        <v>284</v>
      </c>
      <c r="G56">
        <v>284</v>
      </c>
    </row>
    <row r="57" spans="1:7" x14ac:dyDescent="0.25">
      <c r="A57">
        <v>122714825</v>
      </c>
      <c r="B57">
        <v>8283</v>
      </c>
      <c r="C57" t="s">
        <v>160</v>
      </c>
      <c r="D57" t="s">
        <v>161</v>
      </c>
      <c r="E57">
        <v>4</v>
      </c>
      <c r="F57">
        <v>604.79999999999995</v>
      </c>
      <c r="G57">
        <v>604.79999999999995</v>
      </c>
    </row>
    <row r="58" spans="1:7" x14ac:dyDescent="0.25">
      <c r="A58">
        <v>123365554</v>
      </c>
      <c r="B58">
        <v>8283</v>
      </c>
      <c r="C58" t="s">
        <v>162</v>
      </c>
      <c r="D58" t="s">
        <v>163</v>
      </c>
      <c r="E58">
        <v>4</v>
      </c>
      <c r="F58">
        <v>47.2</v>
      </c>
      <c r="G58">
        <v>47.2</v>
      </c>
    </row>
    <row r="59" spans="1:7" x14ac:dyDescent="0.25">
      <c r="A59">
        <v>123575118</v>
      </c>
      <c r="B59">
        <v>9084</v>
      </c>
      <c r="C59" t="s">
        <v>164</v>
      </c>
      <c r="D59" t="s">
        <v>165</v>
      </c>
      <c r="E59">
        <v>2</v>
      </c>
      <c r="F59">
        <v>121</v>
      </c>
      <c r="G59">
        <v>121</v>
      </c>
    </row>
    <row r="60" spans="1:7" x14ac:dyDescent="0.25">
      <c r="A60">
        <v>130769599</v>
      </c>
      <c r="B60">
        <v>8283</v>
      </c>
      <c r="C60" t="s">
        <v>166</v>
      </c>
      <c r="D60" t="s">
        <v>167</v>
      </c>
      <c r="E60">
        <v>4</v>
      </c>
      <c r="F60">
        <v>160</v>
      </c>
      <c r="G60">
        <v>160</v>
      </c>
    </row>
    <row r="61" spans="1:7" x14ac:dyDescent="0.25">
      <c r="A61">
        <v>96438747</v>
      </c>
      <c r="B61">
        <v>9084</v>
      </c>
      <c r="C61" t="s">
        <v>168</v>
      </c>
      <c r="D61" t="s">
        <v>169</v>
      </c>
      <c r="E61">
        <v>2</v>
      </c>
      <c r="F61">
        <v>76</v>
      </c>
      <c r="G61">
        <v>76</v>
      </c>
    </row>
    <row r="62" spans="1:7" x14ac:dyDescent="0.25">
      <c r="A62">
        <v>118090548</v>
      </c>
      <c r="B62">
        <v>8283</v>
      </c>
      <c r="C62" t="s">
        <v>170</v>
      </c>
      <c r="D62" t="s">
        <v>171</v>
      </c>
      <c r="E62">
        <v>4</v>
      </c>
      <c r="F62">
        <v>571.20000000000005</v>
      </c>
      <c r="G62">
        <v>571.20000000000005</v>
      </c>
    </row>
    <row r="63" spans="1:7" x14ac:dyDescent="0.25">
      <c r="A63">
        <v>106942253</v>
      </c>
      <c r="B63">
        <v>8283</v>
      </c>
      <c r="C63" t="s">
        <v>172</v>
      </c>
      <c r="D63" t="s">
        <v>173</v>
      </c>
      <c r="E63">
        <v>4</v>
      </c>
      <c r="F63">
        <v>12</v>
      </c>
      <c r="G63">
        <v>12</v>
      </c>
    </row>
    <row r="64" spans="1:7" x14ac:dyDescent="0.25">
      <c r="A64">
        <v>79716633</v>
      </c>
      <c r="B64">
        <v>1796</v>
      </c>
      <c r="C64" t="s">
        <v>174</v>
      </c>
      <c r="D64" t="s">
        <v>175</v>
      </c>
      <c r="E64">
        <v>1</v>
      </c>
      <c r="F64">
        <v>8.5</v>
      </c>
      <c r="G64">
        <v>8.5</v>
      </c>
    </row>
    <row r="65" spans="1:7" x14ac:dyDescent="0.25">
      <c r="A65">
        <v>91729555</v>
      </c>
      <c r="B65">
        <v>1796</v>
      </c>
      <c r="C65" t="s">
        <v>176</v>
      </c>
      <c r="D65" t="s">
        <v>177</v>
      </c>
      <c r="E65">
        <v>4</v>
      </c>
      <c r="F65">
        <v>38</v>
      </c>
      <c r="G65">
        <v>38</v>
      </c>
    </row>
    <row r="66" spans="1:7" x14ac:dyDescent="0.25">
      <c r="A66">
        <v>116659563</v>
      </c>
      <c r="B66">
        <v>9084</v>
      </c>
      <c r="C66" t="s">
        <v>178</v>
      </c>
      <c r="D66" t="s">
        <v>179</v>
      </c>
      <c r="E66">
        <v>4</v>
      </c>
      <c r="F66">
        <v>40</v>
      </c>
      <c r="G66">
        <v>40</v>
      </c>
    </row>
    <row r="67" spans="1:7" x14ac:dyDescent="0.25">
      <c r="A67">
        <v>91931088</v>
      </c>
      <c r="B67">
        <v>1796</v>
      </c>
      <c r="C67" t="s">
        <v>180</v>
      </c>
      <c r="D67" t="s">
        <v>181</v>
      </c>
      <c r="E67">
        <v>4</v>
      </c>
      <c r="F67">
        <v>42</v>
      </c>
      <c r="G67">
        <v>42</v>
      </c>
    </row>
    <row r="68" spans="1:7" x14ac:dyDescent="0.25">
      <c r="A68">
        <v>110647368</v>
      </c>
      <c r="B68">
        <v>8283</v>
      </c>
      <c r="C68" t="s">
        <v>182</v>
      </c>
      <c r="D68" t="s">
        <v>183</v>
      </c>
      <c r="E68">
        <v>4</v>
      </c>
      <c r="F68">
        <v>44</v>
      </c>
      <c r="G68">
        <v>44</v>
      </c>
    </row>
    <row r="69" spans="1:7" x14ac:dyDescent="0.25">
      <c r="A69">
        <v>92080041</v>
      </c>
      <c r="B69">
        <v>1796</v>
      </c>
      <c r="C69" t="s">
        <v>184</v>
      </c>
      <c r="D69" t="s">
        <v>185</v>
      </c>
      <c r="E69">
        <v>4</v>
      </c>
      <c r="F69">
        <v>44</v>
      </c>
      <c r="G69">
        <v>44</v>
      </c>
    </row>
    <row r="70" spans="1:7" x14ac:dyDescent="0.25">
      <c r="A70">
        <v>115138838</v>
      </c>
      <c r="B70">
        <v>9084</v>
      </c>
      <c r="C70" t="s">
        <v>186</v>
      </c>
      <c r="D70" t="s">
        <v>187</v>
      </c>
      <c r="E70">
        <v>2</v>
      </c>
      <c r="F70">
        <v>16</v>
      </c>
      <c r="G70">
        <v>16</v>
      </c>
    </row>
    <row r="71" spans="1:7" x14ac:dyDescent="0.25">
      <c r="A71">
        <v>108162473</v>
      </c>
      <c r="B71">
        <v>8283</v>
      </c>
      <c r="C71" t="s">
        <v>188</v>
      </c>
      <c r="D71" t="s">
        <v>189</v>
      </c>
      <c r="E71">
        <v>4</v>
      </c>
      <c r="F71">
        <v>64</v>
      </c>
      <c r="G71">
        <v>64</v>
      </c>
    </row>
    <row r="72" spans="1:7" x14ac:dyDescent="0.25">
      <c r="A72">
        <v>99701005</v>
      </c>
      <c r="B72">
        <v>9084</v>
      </c>
      <c r="C72" t="s">
        <v>190</v>
      </c>
      <c r="D72" t="s">
        <v>191</v>
      </c>
      <c r="E72">
        <v>4</v>
      </c>
      <c r="F72">
        <v>76</v>
      </c>
      <c r="G72">
        <v>76</v>
      </c>
    </row>
    <row r="73" spans="1:7" x14ac:dyDescent="0.25">
      <c r="A73">
        <v>112859840</v>
      </c>
      <c r="B73">
        <v>8283</v>
      </c>
      <c r="C73" t="s">
        <v>192</v>
      </c>
      <c r="D73" t="s">
        <v>193</v>
      </c>
      <c r="E73">
        <v>4</v>
      </c>
      <c r="F73">
        <v>80</v>
      </c>
      <c r="G73">
        <v>80</v>
      </c>
    </row>
    <row r="74" spans="1:7" x14ac:dyDescent="0.25">
      <c r="A74">
        <v>79542800</v>
      </c>
      <c r="B74">
        <v>1796</v>
      </c>
      <c r="C74" t="s">
        <v>194</v>
      </c>
      <c r="D74" t="s">
        <v>195</v>
      </c>
      <c r="E74">
        <v>1</v>
      </c>
      <c r="F74">
        <v>1</v>
      </c>
      <c r="G74">
        <v>1</v>
      </c>
    </row>
    <row r="75" spans="1:7" x14ac:dyDescent="0.25">
      <c r="A75">
        <v>123356249</v>
      </c>
      <c r="B75">
        <v>8283</v>
      </c>
      <c r="C75" t="s">
        <v>196</v>
      </c>
      <c r="D75" t="s">
        <v>197</v>
      </c>
      <c r="E75">
        <v>4</v>
      </c>
      <c r="F75">
        <v>183.6</v>
      </c>
      <c r="G75">
        <v>183.6</v>
      </c>
    </row>
    <row r="76" spans="1:7" x14ac:dyDescent="0.25">
      <c r="A76">
        <v>123555074</v>
      </c>
      <c r="B76">
        <v>8283</v>
      </c>
      <c r="C76" t="s">
        <v>198</v>
      </c>
      <c r="D76" t="s">
        <v>199</v>
      </c>
      <c r="E76">
        <v>4</v>
      </c>
      <c r="F76">
        <v>355.2</v>
      </c>
      <c r="G76">
        <v>355.2</v>
      </c>
    </row>
    <row r="77" spans="1:7" x14ac:dyDescent="0.25">
      <c r="A77">
        <v>106027988</v>
      </c>
      <c r="B77">
        <v>9084</v>
      </c>
      <c r="C77" t="s">
        <v>200</v>
      </c>
      <c r="D77" t="s">
        <v>201</v>
      </c>
      <c r="E77">
        <v>2</v>
      </c>
      <c r="F77">
        <v>46</v>
      </c>
      <c r="G77">
        <v>46</v>
      </c>
    </row>
    <row r="78" spans="1:7" x14ac:dyDescent="0.25">
      <c r="A78">
        <v>100592607</v>
      </c>
      <c r="B78">
        <v>8283</v>
      </c>
      <c r="C78" t="s">
        <v>202</v>
      </c>
      <c r="D78" t="s">
        <v>203</v>
      </c>
      <c r="E78">
        <v>4</v>
      </c>
      <c r="F78">
        <v>91.6</v>
      </c>
      <c r="G78">
        <v>91.6</v>
      </c>
    </row>
    <row r="79" spans="1:7" x14ac:dyDescent="0.25">
      <c r="A79">
        <v>114608526</v>
      </c>
      <c r="B79">
        <v>8283</v>
      </c>
      <c r="C79" t="s">
        <v>204</v>
      </c>
      <c r="D79" t="s">
        <v>205</v>
      </c>
      <c r="E79">
        <v>4</v>
      </c>
      <c r="F79">
        <v>47.2</v>
      </c>
      <c r="G79">
        <v>47.2</v>
      </c>
    </row>
    <row r="80" spans="1:7" x14ac:dyDescent="0.25">
      <c r="A80">
        <v>96905476</v>
      </c>
      <c r="B80">
        <v>9084</v>
      </c>
      <c r="C80" t="s">
        <v>206</v>
      </c>
      <c r="D80" t="s">
        <v>207</v>
      </c>
      <c r="E80">
        <v>2</v>
      </c>
      <c r="F80">
        <v>29</v>
      </c>
      <c r="G80">
        <v>29</v>
      </c>
    </row>
    <row r="81" spans="1:7" x14ac:dyDescent="0.25">
      <c r="A81">
        <v>124163994</v>
      </c>
      <c r="B81">
        <v>9084</v>
      </c>
      <c r="C81" t="s">
        <v>208</v>
      </c>
      <c r="D81" t="s">
        <v>209</v>
      </c>
      <c r="E81">
        <v>4</v>
      </c>
      <c r="F81">
        <v>908</v>
      </c>
      <c r="G81">
        <v>908</v>
      </c>
    </row>
    <row r="82" spans="1:7" x14ac:dyDescent="0.25">
      <c r="A82">
        <v>105097596</v>
      </c>
      <c r="B82">
        <v>8283</v>
      </c>
      <c r="C82" t="s">
        <v>210</v>
      </c>
      <c r="D82" t="s">
        <v>211</v>
      </c>
      <c r="E82">
        <v>4</v>
      </c>
      <c r="F82">
        <v>95.6</v>
      </c>
      <c r="G82">
        <v>95.6</v>
      </c>
    </row>
    <row r="83" spans="1:7" x14ac:dyDescent="0.25">
      <c r="A83">
        <v>119625530</v>
      </c>
      <c r="B83">
        <v>8283</v>
      </c>
      <c r="C83" t="s">
        <v>212</v>
      </c>
      <c r="D83" t="s">
        <v>213</v>
      </c>
      <c r="E83">
        <v>4</v>
      </c>
      <c r="F83">
        <v>191.84</v>
      </c>
      <c r="G83">
        <v>191.84</v>
      </c>
    </row>
    <row r="84" spans="1:7" x14ac:dyDescent="0.25">
      <c r="A84">
        <v>101642770</v>
      </c>
      <c r="B84">
        <v>8283</v>
      </c>
      <c r="C84" t="s">
        <v>214</v>
      </c>
      <c r="D84" t="s">
        <v>215</v>
      </c>
      <c r="E84">
        <v>4</v>
      </c>
      <c r="F84">
        <v>258</v>
      </c>
      <c r="G84">
        <v>258</v>
      </c>
    </row>
    <row r="85" spans="1:7" x14ac:dyDescent="0.25">
      <c r="A85">
        <v>124176180</v>
      </c>
      <c r="B85">
        <v>9084</v>
      </c>
      <c r="C85" t="s">
        <v>216</v>
      </c>
      <c r="D85" t="s">
        <v>217</v>
      </c>
      <c r="E85">
        <v>4</v>
      </c>
      <c r="F85">
        <v>372</v>
      </c>
      <c r="G85">
        <v>372</v>
      </c>
    </row>
    <row r="86" spans="1:7" x14ac:dyDescent="0.25">
      <c r="A86">
        <v>58264644</v>
      </c>
      <c r="B86">
        <v>4337</v>
      </c>
      <c r="C86" t="s">
        <v>218</v>
      </c>
      <c r="D86" t="s">
        <v>219</v>
      </c>
      <c r="E86">
        <v>1</v>
      </c>
      <c r="F86">
        <v>15.9</v>
      </c>
      <c r="G86">
        <v>15.9</v>
      </c>
    </row>
    <row r="87" spans="1:7" x14ac:dyDescent="0.25">
      <c r="A87">
        <v>115110150</v>
      </c>
      <c r="B87">
        <v>8283</v>
      </c>
      <c r="C87" t="s">
        <v>220</v>
      </c>
      <c r="D87" t="s">
        <v>221</v>
      </c>
      <c r="E87">
        <v>4</v>
      </c>
      <c r="F87">
        <v>100</v>
      </c>
      <c r="G87">
        <v>100</v>
      </c>
    </row>
    <row r="88" spans="1:7" x14ac:dyDescent="0.25">
      <c r="A88">
        <v>119090984</v>
      </c>
      <c r="B88">
        <v>9084</v>
      </c>
      <c r="C88" t="s">
        <v>222</v>
      </c>
      <c r="D88" t="s">
        <v>223</v>
      </c>
      <c r="E88">
        <v>2</v>
      </c>
      <c r="F88">
        <v>60</v>
      </c>
      <c r="G88">
        <v>60</v>
      </c>
    </row>
    <row r="89" spans="1:7" x14ac:dyDescent="0.25">
      <c r="A89">
        <v>105099405</v>
      </c>
      <c r="B89">
        <v>9084</v>
      </c>
      <c r="C89" t="s">
        <v>224</v>
      </c>
      <c r="D89" t="s">
        <v>225</v>
      </c>
      <c r="E89">
        <v>4</v>
      </c>
      <c r="F89">
        <v>104</v>
      </c>
      <c r="G89">
        <v>104</v>
      </c>
    </row>
    <row r="90" spans="1:7" x14ac:dyDescent="0.25">
      <c r="A90">
        <v>120466595</v>
      </c>
      <c r="B90">
        <v>8283</v>
      </c>
      <c r="C90" t="s">
        <v>226</v>
      </c>
      <c r="D90" t="s">
        <v>227</v>
      </c>
      <c r="E90">
        <v>4</v>
      </c>
      <c r="F90">
        <v>131.6</v>
      </c>
      <c r="G90">
        <v>131.6</v>
      </c>
    </row>
    <row r="91" spans="1:7" x14ac:dyDescent="0.25">
      <c r="A91">
        <v>116377685</v>
      </c>
      <c r="B91">
        <v>9084</v>
      </c>
      <c r="C91" t="s">
        <v>228</v>
      </c>
      <c r="D91" t="s">
        <v>229</v>
      </c>
      <c r="E91">
        <v>4</v>
      </c>
      <c r="F91">
        <v>200</v>
      </c>
      <c r="G91">
        <v>200</v>
      </c>
    </row>
    <row r="92" spans="1:7" x14ac:dyDescent="0.25">
      <c r="A92">
        <v>102477577</v>
      </c>
      <c r="B92">
        <v>9084</v>
      </c>
      <c r="C92" t="s">
        <v>230</v>
      </c>
      <c r="D92" t="s">
        <v>231</v>
      </c>
      <c r="E92">
        <v>2</v>
      </c>
      <c r="F92">
        <v>52</v>
      </c>
      <c r="G92">
        <v>52</v>
      </c>
    </row>
    <row r="93" spans="1:7" x14ac:dyDescent="0.25">
      <c r="A93">
        <v>115844535</v>
      </c>
      <c r="B93">
        <v>9084</v>
      </c>
      <c r="C93" t="s">
        <v>232</v>
      </c>
      <c r="D93" t="s">
        <v>233</v>
      </c>
      <c r="E93">
        <v>2</v>
      </c>
      <c r="F93">
        <v>35</v>
      </c>
      <c r="G93">
        <v>35</v>
      </c>
    </row>
    <row r="94" spans="1:7" x14ac:dyDescent="0.25">
      <c r="A94">
        <v>125095705</v>
      </c>
      <c r="B94">
        <v>8283</v>
      </c>
      <c r="C94" t="s">
        <v>234</v>
      </c>
      <c r="D94" t="s">
        <v>235</v>
      </c>
      <c r="E94">
        <v>4</v>
      </c>
      <c r="F94">
        <v>103.6</v>
      </c>
      <c r="G94">
        <v>103.6</v>
      </c>
    </row>
    <row r="95" spans="1:7" x14ac:dyDescent="0.25">
      <c r="A95">
        <v>99891415</v>
      </c>
      <c r="B95">
        <v>8283</v>
      </c>
      <c r="C95" t="s">
        <v>236</v>
      </c>
      <c r="D95" t="s">
        <v>237</v>
      </c>
      <c r="E95">
        <v>4</v>
      </c>
      <c r="F95">
        <v>414.4</v>
      </c>
      <c r="G95">
        <v>414.4</v>
      </c>
    </row>
    <row r="96" spans="1:7" x14ac:dyDescent="0.25">
      <c r="A96">
        <v>102448491</v>
      </c>
      <c r="B96">
        <v>8283</v>
      </c>
      <c r="C96" t="s">
        <v>238</v>
      </c>
      <c r="D96" t="s">
        <v>239</v>
      </c>
      <c r="E96">
        <v>4</v>
      </c>
      <c r="F96">
        <v>51.6</v>
      </c>
      <c r="G96">
        <v>51.6</v>
      </c>
    </row>
    <row r="97" spans="1:7" x14ac:dyDescent="0.25">
      <c r="A97">
        <v>54535575</v>
      </c>
      <c r="B97">
        <v>4337</v>
      </c>
      <c r="C97" t="s">
        <v>240</v>
      </c>
      <c r="D97" t="s">
        <v>241</v>
      </c>
      <c r="E97">
        <v>1</v>
      </c>
      <c r="F97">
        <v>24.3</v>
      </c>
      <c r="G97">
        <v>24.3</v>
      </c>
    </row>
    <row r="98" spans="1:7" x14ac:dyDescent="0.25">
      <c r="A98">
        <v>104562694</v>
      </c>
      <c r="B98">
        <v>8283</v>
      </c>
      <c r="C98" t="s">
        <v>242</v>
      </c>
      <c r="D98" t="s">
        <v>243</v>
      </c>
      <c r="E98">
        <v>4</v>
      </c>
      <c r="F98">
        <v>79.599999999999994</v>
      </c>
      <c r="G98">
        <v>79.599999999999994</v>
      </c>
    </row>
    <row r="99" spans="1:7" x14ac:dyDescent="0.25">
      <c r="A99">
        <v>98505760</v>
      </c>
      <c r="B99">
        <v>9084</v>
      </c>
      <c r="C99" t="s">
        <v>244</v>
      </c>
      <c r="D99" t="s">
        <v>245</v>
      </c>
      <c r="E99">
        <v>2</v>
      </c>
      <c r="F99">
        <v>54</v>
      </c>
      <c r="G99">
        <v>54</v>
      </c>
    </row>
    <row r="100" spans="1:7" x14ac:dyDescent="0.25">
      <c r="A100">
        <v>119799452</v>
      </c>
      <c r="B100">
        <v>9084</v>
      </c>
      <c r="C100" t="s">
        <v>246</v>
      </c>
      <c r="D100" t="s">
        <v>247</v>
      </c>
      <c r="E100">
        <v>2</v>
      </c>
      <c r="F100">
        <v>34</v>
      </c>
      <c r="G100">
        <v>34</v>
      </c>
    </row>
    <row r="101" spans="1:7" x14ac:dyDescent="0.25">
      <c r="A101">
        <v>116089585</v>
      </c>
      <c r="B101">
        <v>9084</v>
      </c>
      <c r="C101" t="s">
        <v>248</v>
      </c>
      <c r="D101" t="s">
        <v>249</v>
      </c>
      <c r="E101">
        <v>2</v>
      </c>
      <c r="F101">
        <v>42</v>
      </c>
      <c r="G101">
        <v>42</v>
      </c>
    </row>
    <row r="102" spans="1:7" x14ac:dyDescent="0.25">
      <c r="A102">
        <v>99954822</v>
      </c>
      <c r="B102">
        <v>9084</v>
      </c>
      <c r="C102" t="s">
        <v>250</v>
      </c>
      <c r="D102" t="s">
        <v>251</v>
      </c>
      <c r="E102">
        <v>2</v>
      </c>
      <c r="F102">
        <v>54</v>
      </c>
      <c r="G102">
        <v>54</v>
      </c>
    </row>
    <row r="103" spans="1:7" x14ac:dyDescent="0.25">
      <c r="A103">
        <v>102294860</v>
      </c>
      <c r="B103">
        <v>9084</v>
      </c>
      <c r="C103" t="s">
        <v>252</v>
      </c>
      <c r="D103" t="s">
        <v>253</v>
      </c>
      <c r="E103">
        <v>2</v>
      </c>
      <c r="F103">
        <v>141</v>
      </c>
      <c r="G103">
        <v>141</v>
      </c>
    </row>
    <row r="104" spans="1:7" x14ac:dyDescent="0.25">
      <c r="A104">
        <v>122714030</v>
      </c>
      <c r="B104">
        <v>9084</v>
      </c>
      <c r="C104" t="s">
        <v>254</v>
      </c>
      <c r="D104" t="s">
        <v>255</v>
      </c>
      <c r="E104">
        <v>2</v>
      </c>
      <c r="F104">
        <v>51</v>
      </c>
      <c r="G104">
        <v>51</v>
      </c>
    </row>
    <row r="105" spans="1:7" x14ac:dyDescent="0.25">
      <c r="A105">
        <v>110532187</v>
      </c>
      <c r="B105">
        <v>8283</v>
      </c>
      <c r="C105" t="s">
        <v>256</v>
      </c>
      <c r="D105" t="s">
        <v>257</v>
      </c>
      <c r="E105">
        <v>4</v>
      </c>
      <c r="F105">
        <v>231.2</v>
      </c>
      <c r="G105">
        <v>231.2</v>
      </c>
    </row>
    <row r="106" spans="1:7" x14ac:dyDescent="0.25">
      <c r="A106">
        <v>119669826</v>
      </c>
      <c r="B106">
        <v>8283</v>
      </c>
      <c r="C106" t="s">
        <v>258</v>
      </c>
      <c r="D106" t="s">
        <v>259</v>
      </c>
      <c r="E106">
        <v>4</v>
      </c>
      <c r="F106">
        <v>132</v>
      </c>
      <c r="G106">
        <v>132</v>
      </c>
    </row>
    <row r="107" spans="1:7" x14ac:dyDescent="0.25">
      <c r="A107">
        <v>102252719</v>
      </c>
      <c r="B107">
        <v>8283</v>
      </c>
      <c r="C107" t="s">
        <v>260</v>
      </c>
      <c r="D107" t="s">
        <v>261</v>
      </c>
      <c r="E107">
        <v>4</v>
      </c>
      <c r="F107">
        <v>103.6</v>
      </c>
      <c r="G107">
        <v>103.6</v>
      </c>
    </row>
    <row r="108" spans="1:7" x14ac:dyDescent="0.25">
      <c r="A108">
        <v>108215848</v>
      </c>
      <c r="B108">
        <v>9084</v>
      </c>
      <c r="C108" t="s">
        <v>262</v>
      </c>
      <c r="D108" t="s">
        <v>263</v>
      </c>
      <c r="E108">
        <v>4</v>
      </c>
      <c r="F108">
        <v>32</v>
      </c>
      <c r="G108">
        <v>32</v>
      </c>
    </row>
    <row r="109" spans="1:7" x14ac:dyDescent="0.25">
      <c r="A109">
        <v>92106833</v>
      </c>
      <c r="B109">
        <v>1796</v>
      </c>
      <c r="C109" t="s">
        <v>264</v>
      </c>
      <c r="D109" t="s">
        <v>265</v>
      </c>
      <c r="E109">
        <v>4</v>
      </c>
      <c r="F109">
        <v>34</v>
      </c>
      <c r="G109">
        <v>34</v>
      </c>
    </row>
    <row r="110" spans="1:7" x14ac:dyDescent="0.25">
      <c r="A110">
        <v>91907374</v>
      </c>
      <c r="B110">
        <v>1796</v>
      </c>
      <c r="C110" t="s">
        <v>266</v>
      </c>
      <c r="D110" t="s">
        <v>267</v>
      </c>
      <c r="E110">
        <v>4</v>
      </c>
      <c r="F110">
        <v>38</v>
      </c>
      <c r="G110">
        <v>38</v>
      </c>
    </row>
    <row r="111" spans="1:7" x14ac:dyDescent="0.25">
      <c r="A111">
        <v>121451778</v>
      </c>
      <c r="B111">
        <v>9084</v>
      </c>
      <c r="C111" t="s">
        <v>268</v>
      </c>
      <c r="D111" t="s">
        <v>269</v>
      </c>
      <c r="E111">
        <v>2</v>
      </c>
      <c r="F111">
        <v>10</v>
      </c>
      <c r="G111">
        <v>10</v>
      </c>
    </row>
    <row r="112" spans="1:7" x14ac:dyDescent="0.25">
      <c r="A112">
        <v>91925977</v>
      </c>
      <c r="B112">
        <v>1796</v>
      </c>
      <c r="C112" t="s">
        <v>270</v>
      </c>
      <c r="D112" t="s">
        <v>271</v>
      </c>
      <c r="E112">
        <v>4</v>
      </c>
      <c r="F112">
        <v>42</v>
      </c>
      <c r="G112">
        <v>42</v>
      </c>
    </row>
    <row r="113" spans="1:7" x14ac:dyDescent="0.25">
      <c r="A113">
        <v>118901692</v>
      </c>
      <c r="B113">
        <v>9084</v>
      </c>
      <c r="C113" t="s">
        <v>272</v>
      </c>
      <c r="D113" t="s">
        <v>273</v>
      </c>
      <c r="E113">
        <v>4</v>
      </c>
      <c r="F113">
        <v>32</v>
      </c>
      <c r="G113">
        <v>32</v>
      </c>
    </row>
    <row r="114" spans="1:7" x14ac:dyDescent="0.25">
      <c r="A114">
        <v>101573951</v>
      </c>
      <c r="B114">
        <v>9084</v>
      </c>
      <c r="C114" t="s">
        <v>274</v>
      </c>
      <c r="D114" t="s">
        <v>275</v>
      </c>
      <c r="E114">
        <v>4</v>
      </c>
      <c r="F114">
        <v>36</v>
      </c>
      <c r="G114">
        <v>36</v>
      </c>
    </row>
    <row r="115" spans="1:7" x14ac:dyDescent="0.25">
      <c r="A115">
        <v>110678801</v>
      </c>
      <c r="B115">
        <v>9084</v>
      </c>
      <c r="C115" t="s">
        <v>276</v>
      </c>
      <c r="D115" t="s">
        <v>277</v>
      </c>
      <c r="E115">
        <v>2</v>
      </c>
      <c r="F115">
        <v>10</v>
      </c>
      <c r="G115">
        <v>10</v>
      </c>
    </row>
    <row r="116" spans="1:7" x14ac:dyDescent="0.25">
      <c r="A116">
        <v>125562539</v>
      </c>
      <c r="B116">
        <v>8283</v>
      </c>
      <c r="C116" t="s">
        <v>278</v>
      </c>
      <c r="D116" t="s">
        <v>279</v>
      </c>
      <c r="E116">
        <v>4</v>
      </c>
      <c r="F116">
        <v>40</v>
      </c>
      <c r="G116">
        <v>40</v>
      </c>
    </row>
    <row r="117" spans="1:7" x14ac:dyDescent="0.25">
      <c r="A117">
        <v>130444515</v>
      </c>
      <c r="B117">
        <v>8283</v>
      </c>
      <c r="C117" t="s">
        <v>280</v>
      </c>
      <c r="D117" t="s">
        <v>281</v>
      </c>
      <c r="E117">
        <v>4</v>
      </c>
      <c r="F117">
        <v>40</v>
      </c>
      <c r="G117">
        <v>40</v>
      </c>
    </row>
    <row r="118" spans="1:7" x14ac:dyDescent="0.25">
      <c r="A118">
        <v>97429406</v>
      </c>
      <c r="B118">
        <v>9084</v>
      </c>
      <c r="C118" t="s">
        <v>282</v>
      </c>
      <c r="D118" t="s">
        <v>283</v>
      </c>
      <c r="E118">
        <v>4</v>
      </c>
      <c r="F118">
        <v>44</v>
      </c>
      <c r="G118">
        <v>44</v>
      </c>
    </row>
    <row r="119" spans="1:7" x14ac:dyDescent="0.25">
      <c r="A119">
        <v>106176980</v>
      </c>
      <c r="B119">
        <v>8283</v>
      </c>
      <c r="C119" t="s">
        <v>284</v>
      </c>
      <c r="D119" t="s">
        <v>285</v>
      </c>
      <c r="E119">
        <v>4</v>
      </c>
      <c r="F119">
        <v>151.6</v>
      </c>
      <c r="G119">
        <v>151.6</v>
      </c>
    </row>
    <row r="120" spans="1:7" x14ac:dyDescent="0.25">
      <c r="A120">
        <v>112726804</v>
      </c>
      <c r="B120">
        <v>8283</v>
      </c>
      <c r="C120" t="s">
        <v>286</v>
      </c>
      <c r="D120" t="s">
        <v>287</v>
      </c>
      <c r="E120">
        <v>4</v>
      </c>
      <c r="F120">
        <v>94.4</v>
      </c>
      <c r="G120">
        <v>94.4</v>
      </c>
    </row>
    <row r="121" spans="1:7" x14ac:dyDescent="0.25">
      <c r="A121">
        <v>118648774</v>
      </c>
      <c r="B121">
        <v>9084</v>
      </c>
      <c r="C121" t="s">
        <v>288</v>
      </c>
      <c r="D121" t="s">
        <v>289</v>
      </c>
      <c r="E121">
        <v>2</v>
      </c>
      <c r="F121">
        <v>27</v>
      </c>
      <c r="G121">
        <v>27</v>
      </c>
    </row>
    <row r="122" spans="1:7" x14ac:dyDescent="0.25">
      <c r="A122">
        <v>99185322</v>
      </c>
      <c r="B122">
        <v>8283</v>
      </c>
      <c r="C122" t="s">
        <v>290</v>
      </c>
      <c r="D122" t="s">
        <v>291</v>
      </c>
      <c r="E122">
        <v>4</v>
      </c>
      <c r="F122">
        <v>95.92</v>
      </c>
      <c r="G122">
        <v>95.92</v>
      </c>
    </row>
    <row r="123" spans="1:7" x14ac:dyDescent="0.25">
      <c r="A123">
        <v>106990466</v>
      </c>
      <c r="B123">
        <v>8283</v>
      </c>
      <c r="C123" t="s">
        <v>292</v>
      </c>
      <c r="D123" t="s">
        <v>293</v>
      </c>
      <c r="E123">
        <v>4</v>
      </c>
      <c r="F123">
        <v>75.599999999999994</v>
      </c>
      <c r="G123">
        <v>75.599999999999994</v>
      </c>
    </row>
    <row r="124" spans="1:7" x14ac:dyDescent="0.25">
      <c r="A124">
        <v>131009869</v>
      </c>
      <c r="B124">
        <v>8283</v>
      </c>
      <c r="C124" t="s">
        <v>294</v>
      </c>
      <c r="D124" t="s">
        <v>295</v>
      </c>
      <c r="E124">
        <v>4</v>
      </c>
      <c r="F124">
        <v>100</v>
      </c>
      <c r="G124">
        <v>100</v>
      </c>
    </row>
    <row r="125" spans="1:7" x14ac:dyDescent="0.25">
      <c r="A125">
        <v>101477760</v>
      </c>
      <c r="B125">
        <v>8283</v>
      </c>
      <c r="C125" t="s">
        <v>296</v>
      </c>
      <c r="D125" t="s">
        <v>297</v>
      </c>
      <c r="E125">
        <v>4</v>
      </c>
      <c r="F125">
        <v>111.6</v>
      </c>
      <c r="G125">
        <v>111.6</v>
      </c>
    </row>
    <row r="126" spans="1:7" x14ac:dyDescent="0.25">
      <c r="A126">
        <v>104544982</v>
      </c>
      <c r="B126">
        <v>8283</v>
      </c>
      <c r="C126" t="s">
        <v>298</v>
      </c>
      <c r="D126" t="s">
        <v>299</v>
      </c>
      <c r="E126">
        <v>4</v>
      </c>
      <c r="F126">
        <v>259.60000000000002</v>
      </c>
      <c r="G126">
        <v>259.60000000000002</v>
      </c>
    </row>
    <row r="127" spans="1:7" x14ac:dyDescent="0.25">
      <c r="A127">
        <v>122729717</v>
      </c>
      <c r="B127">
        <v>9084</v>
      </c>
      <c r="C127" t="s">
        <v>300</v>
      </c>
      <c r="D127" t="s">
        <v>301</v>
      </c>
      <c r="E127">
        <v>3</v>
      </c>
      <c r="F127">
        <v>66</v>
      </c>
      <c r="G127">
        <v>66</v>
      </c>
    </row>
    <row r="128" spans="1:7" x14ac:dyDescent="0.25">
      <c r="A128">
        <v>103545092</v>
      </c>
      <c r="B128">
        <v>8283</v>
      </c>
      <c r="C128" t="s">
        <v>302</v>
      </c>
      <c r="D128" t="s">
        <v>303</v>
      </c>
      <c r="E128">
        <v>4</v>
      </c>
      <c r="F128">
        <v>179.6</v>
      </c>
      <c r="G128">
        <v>179.6</v>
      </c>
    </row>
    <row r="129" spans="1:7" x14ac:dyDescent="0.25">
      <c r="A129">
        <v>101903942</v>
      </c>
      <c r="B129">
        <v>9084</v>
      </c>
      <c r="C129" t="s">
        <v>304</v>
      </c>
      <c r="D129" t="s">
        <v>305</v>
      </c>
      <c r="E129">
        <v>4</v>
      </c>
      <c r="F129">
        <v>84</v>
      </c>
      <c r="G129">
        <v>84</v>
      </c>
    </row>
    <row r="130" spans="1:7" x14ac:dyDescent="0.25">
      <c r="A130">
        <v>121456426</v>
      </c>
      <c r="B130">
        <v>9084</v>
      </c>
      <c r="C130" t="s">
        <v>306</v>
      </c>
      <c r="D130" t="s">
        <v>307</v>
      </c>
      <c r="E130">
        <v>2</v>
      </c>
      <c r="F130">
        <v>22</v>
      </c>
      <c r="G130">
        <v>22</v>
      </c>
    </row>
    <row r="131" spans="1:7" x14ac:dyDescent="0.25">
      <c r="A131">
        <v>124026233</v>
      </c>
      <c r="B131">
        <v>9084</v>
      </c>
      <c r="C131" t="s">
        <v>308</v>
      </c>
      <c r="D131" t="s">
        <v>309</v>
      </c>
      <c r="E131">
        <v>4</v>
      </c>
      <c r="F131">
        <v>516</v>
      </c>
      <c r="G131">
        <v>516</v>
      </c>
    </row>
    <row r="132" spans="1:7" x14ac:dyDescent="0.25">
      <c r="A132">
        <v>56215623</v>
      </c>
      <c r="B132">
        <v>4337</v>
      </c>
      <c r="C132" t="s">
        <v>310</v>
      </c>
      <c r="D132" t="s">
        <v>311</v>
      </c>
      <c r="E132">
        <v>1</v>
      </c>
      <c r="F132">
        <v>47.2</v>
      </c>
      <c r="G132">
        <v>47.2</v>
      </c>
    </row>
    <row r="133" spans="1:7" x14ac:dyDescent="0.25">
      <c r="A133">
        <v>125505041</v>
      </c>
      <c r="B133">
        <v>8283</v>
      </c>
      <c r="C133" t="s">
        <v>312</v>
      </c>
      <c r="D133" t="s">
        <v>313</v>
      </c>
      <c r="E133">
        <v>4</v>
      </c>
      <c r="F133">
        <v>100</v>
      </c>
      <c r="G133">
        <v>100</v>
      </c>
    </row>
    <row r="134" spans="1:7" x14ac:dyDescent="0.25">
      <c r="A134">
        <v>131797820</v>
      </c>
      <c r="B134">
        <v>8283</v>
      </c>
      <c r="C134" t="s">
        <v>314</v>
      </c>
      <c r="D134" t="s">
        <v>315</v>
      </c>
      <c r="E134">
        <v>4</v>
      </c>
      <c r="F134">
        <v>47.96</v>
      </c>
      <c r="G134">
        <v>47.96</v>
      </c>
    </row>
    <row r="135" spans="1:7" x14ac:dyDescent="0.25">
      <c r="A135">
        <v>112724880</v>
      </c>
      <c r="B135">
        <v>8283</v>
      </c>
      <c r="C135" t="s">
        <v>316</v>
      </c>
      <c r="D135" t="s">
        <v>317</v>
      </c>
      <c r="E135">
        <v>4</v>
      </c>
      <c r="F135">
        <v>47.2</v>
      </c>
      <c r="G135">
        <v>47.2</v>
      </c>
    </row>
    <row r="136" spans="1:7" x14ac:dyDescent="0.25">
      <c r="A136">
        <v>106477571</v>
      </c>
      <c r="B136">
        <v>9084</v>
      </c>
      <c r="C136" t="s">
        <v>318</v>
      </c>
      <c r="D136" t="s">
        <v>319</v>
      </c>
      <c r="E136">
        <v>2</v>
      </c>
      <c r="F136">
        <v>148</v>
      </c>
      <c r="G136">
        <v>148</v>
      </c>
    </row>
    <row r="137" spans="1:7" x14ac:dyDescent="0.25">
      <c r="A137">
        <v>115137791</v>
      </c>
      <c r="B137">
        <v>9084</v>
      </c>
      <c r="C137" t="s">
        <v>320</v>
      </c>
      <c r="D137" t="s">
        <v>321</v>
      </c>
      <c r="E137">
        <v>2</v>
      </c>
      <c r="F137">
        <v>85</v>
      </c>
      <c r="G137">
        <v>85</v>
      </c>
    </row>
    <row r="138" spans="1:7" x14ac:dyDescent="0.25">
      <c r="A138">
        <v>117038156</v>
      </c>
      <c r="B138">
        <v>8283</v>
      </c>
      <c r="C138" t="s">
        <v>322</v>
      </c>
      <c r="D138" t="s">
        <v>323</v>
      </c>
      <c r="E138">
        <v>4</v>
      </c>
      <c r="F138">
        <v>400</v>
      </c>
      <c r="G138">
        <v>400</v>
      </c>
    </row>
    <row r="139" spans="1:7" x14ac:dyDescent="0.25">
      <c r="A139">
        <v>106994508</v>
      </c>
      <c r="B139">
        <v>8283</v>
      </c>
      <c r="C139" t="s">
        <v>324</v>
      </c>
      <c r="D139" t="s">
        <v>325</v>
      </c>
      <c r="E139">
        <v>4</v>
      </c>
      <c r="F139">
        <v>51.6</v>
      </c>
      <c r="G139">
        <v>51.6</v>
      </c>
    </row>
    <row r="140" spans="1:7" x14ac:dyDescent="0.25">
      <c r="A140">
        <v>132654580</v>
      </c>
      <c r="B140">
        <v>8283</v>
      </c>
      <c r="C140" t="s">
        <v>326</v>
      </c>
      <c r="D140" t="s">
        <v>327</v>
      </c>
      <c r="E140">
        <v>4</v>
      </c>
      <c r="F140">
        <v>100</v>
      </c>
      <c r="G140">
        <v>100</v>
      </c>
    </row>
    <row r="141" spans="1:7" x14ac:dyDescent="0.25">
      <c r="A141">
        <v>99496857</v>
      </c>
      <c r="B141">
        <v>8283</v>
      </c>
      <c r="C141" t="s">
        <v>328</v>
      </c>
      <c r="D141" t="s">
        <v>329</v>
      </c>
      <c r="E141">
        <v>4</v>
      </c>
      <c r="F141">
        <v>91.2</v>
      </c>
      <c r="G141">
        <v>91.2</v>
      </c>
    </row>
    <row r="142" spans="1:7" x14ac:dyDescent="0.25">
      <c r="A142">
        <v>57242336</v>
      </c>
      <c r="B142">
        <v>4337</v>
      </c>
      <c r="C142" t="s">
        <v>330</v>
      </c>
      <c r="D142" t="s">
        <v>331</v>
      </c>
      <c r="E142">
        <v>1</v>
      </c>
      <c r="F142">
        <v>18.3</v>
      </c>
      <c r="G142">
        <v>18.3</v>
      </c>
    </row>
    <row r="143" spans="1:7" x14ac:dyDescent="0.25">
      <c r="A143">
        <v>124026205</v>
      </c>
      <c r="B143">
        <v>9084</v>
      </c>
      <c r="C143" t="s">
        <v>332</v>
      </c>
      <c r="D143" t="s">
        <v>333</v>
      </c>
      <c r="E143">
        <v>4</v>
      </c>
      <c r="F143">
        <v>205.6</v>
      </c>
      <c r="G143">
        <v>205.6</v>
      </c>
    </row>
    <row r="144" spans="1:7" x14ac:dyDescent="0.25">
      <c r="A144">
        <v>118322774</v>
      </c>
      <c r="B144">
        <v>8283</v>
      </c>
      <c r="C144" t="s">
        <v>334</v>
      </c>
      <c r="D144" t="s">
        <v>335</v>
      </c>
      <c r="E144">
        <v>4</v>
      </c>
      <c r="F144">
        <v>70.8</v>
      </c>
      <c r="G144">
        <v>70.8</v>
      </c>
    </row>
    <row r="145" spans="1:7" x14ac:dyDescent="0.25">
      <c r="A145">
        <v>118089431</v>
      </c>
      <c r="B145">
        <v>8283</v>
      </c>
      <c r="C145" t="s">
        <v>336</v>
      </c>
      <c r="D145" t="s">
        <v>337</v>
      </c>
      <c r="E145">
        <v>4</v>
      </c>
      <c r="F145">
        <v>119.6</v>
      </c>
      <c r="G145">
        <v>119.6</v>
      </c>
    </row>
    <row r="146" spans="1:7" x14ac:dyDescent="0.25">
      <c r="A146">
        <v>120834710</v>
      </c>
      <c r="B146">
        <v>8283</v>
      </c>
      <c r="C146" t="s">
        <v>338</v>
      </c>
      <c r="D146" t="s">
        <v>339</v>
      </c>
      <c r="E146">
        <v>4</v>
      </c>
      <c r="F146">
        <v>87.6</v>
      </c>
      <c r="G146">
        <v>87.6</v>
      </c>
    </row>
    <row r="147" spans="1:7" x14ac:dyDescent="0.25">
      <c r="A147">
        <v>101890468</v>
      </c>
      <c r="B147">
        <v>9084</v>
      </c>
      <c r="C147" t="s">
        <v>340</v>
      </c>
      <c r="D147" t="s">
        <v>341</v>
      </c>
      <c r="E147">
        <v>2</v>
      </c>
      <c r="F147">
        <v>23</v>
      </c>
      <c r="G147">
        <v>23</v>
      </c>
    </row>
    <row r="148" spans="1:7" x14ac:dyDescent="0.25">
      <c r="A148">
        <v>135046575</v>
      </c>
      <c r="B148">
        <v>8283</v>
      </c>
      <c r="C148" t="s">
        <v>342</v>
      </c>
      <c r="D148" t="s">
        <v>343</v>
      </c>
      <c r="E148">
        <v>4</v>
      </c>
      <c r="F148">
        <v>103.6</v>
      </c>
      <c r="G148">
        <v>103.6</v>
      </c>
    </row>
    <row r="149" spans="1:7" x14ac:dyDescent="0.25">
      <c r="A149">
        <v>98511019</v>
      </c>
      <c r="B149">
        <v>9084</v>
      </c>
      <c r="C149" t="s">
        <v>344</v>
      </c>
      <c r="D149" t="s">
        <v>345</v>
      </c>
      <c r="E149">
        <v>2</v>
      </c>
      <c r="F149">
        <v>46</v>
      </c>
      <c r="G149">
        <v>46</v>
      </c>
    </row>
    <row r="150" spans="1:7" x14ac:dyDescent="0.25">
      <c r="A150">
        <v>101536318</v>
      </c>
      <c r="B150">
        <v>8283</v>
      </c>
      <c r="C150" t="s">
        <v>346</v>
      </c>
      <c r="D150" t="s">
        <v>347</v>
      </c>
      <c r="E150">
        <v>4</v>
      </c>
      <c r="F150">
        <v>47.2</v>
      </c>
      <c r="G150">
        <v>47.2</v>
      </c>
    </row>
    <row r="151" spans="1:7" x14ac:dyDescent="0.25">
      <c r="A151">
        <v>123696734</v>
      </c>
      <c r="B151">
        <v>9084</v>
      </c>
      <c r="C151" t="s">
        <v>348</v>
      </c>
      <c r="D151" t="s">
        <v>349</v>
      </c>
      <c r="E151">
        <v>4</v>
      </c>
      <c r="F151">
        <v>140</v>
      </c>
      <c r="G151">
        <v>140</v>
      </c>
    </row>
    <row r="152" spans="1:7" x14ac:dyDescent="0.25">
      <c r="A152">
        <v>100104788</v>
      </c>
      <c r="B152">
        <v>8283</v>
      </c>
      <c r="C152" t="s">
        <v>350</v>
      </c>
      <c r="D152" t="s">
        <v>351</v>
      </c>
      <c r="E152">
        <v>4</v>
      </c>
      <c r="F152">
        <v>203.2</v>
      </c>
      <c r="G152">
        <v>203.2</v>
      </c>
    </row>
    <row r="153" spans="1:7" x14ac:dyDescent="0.25">
      <c r="A153">
        <v>103389395</v>
      </c>
      <c r="B153">
        <v>8283</v>
      </c>
      <c r="C153" t="s">
        <v>352</v>
      </c>
      <c r="D153" t="s">
        <v>353</v>
      </c>
      <c r="E153">
        <v>4</v>
      </c>
      <c r="F153">
        <v>220</v>
      </c>
      <c r="G153">
        <v>220</v>
      </c>
    </row>
    <row r="154" spans="1:7" x14ac:dyDescent="0.25">
      <c r="A154">
        <v>125761172</v>
      </c>
      <c r="B154">
        <v>8283</v>
      </c>
      <c r="C154" t="s">
        <v>354</v>
      </c>
      <c r="D154" t="s">
        <v>355</v>
      </c>
      <c r="E154">
        <v>4</v>
      </c>
      <c r="F154">
        <v>547.6</v>
      </c>
      <c r="G154">
        <v>547.6</v>
      </c>
    </row>
    <row r="155" spans="1:7" x14ac:dyDescent="0.25">
      <c r="A155">
        <v>107882205</v>
      </c>
      <c r="B155">
        <v>8283</v>
      </c>
      <c r="C155" t="s">
        <v>356</v>
      </c>
      <c r="D155" t="s">
        <v>357</v>
      </c>
      <c r="E155">
        <v>4</v>
      </c>
      <c r="F155">
        <v>79.2</v>
      </c>
      <c r="G155">
        <v>79.2</v>
      </c>
    </row>
    <row r="156" spans="1:7" x14ac:dyDescent="0.25">
      <c r="A156">
        <v>104783782</v>
      </c>
      <c r="B156">
        <v>8283</v>
      </c>
      <c r="C156" t="s">
        <v>358</v>
      </c>
      <c r="D156" t="s">
        <v>359</v>
      </c>
      <c r="E156">
        <v>4</v>
      </c>
      <c r="F156">
        <v>120</v>
      </c>
      <c r="G156">
        <v>120</v>
      </c>
    </row>
    <row r="157" spans="1:7" x14ac:dyDescent="0.25">
      <c r="A157">
        <v>112359124</v>
      </c>
      <c r="B157">
        <v>8283</v>
      </c>
      <c r="C157" t="s">
        <v>360</v>
      </c>
      <c r="D157" t="s">
        <v>361</v>
      </c>
      <c r="E157">
        <v>4</v>
      </c>
      <c r="F157">
        <v>70.8</v>
      </c>
      <c r="G157">
        <v>70.8</v>
      </c>
    </row>
    <row r="158" spans="1:7" x14ac:dyDescent="0.25">
      <c r="A158">
        <v>121959481</v>
      </c>
      <c r="B158">
        <v>8283</v>
      </c>
      <c r="C158" t="s">
        <v>362</v>
      </c>
      <c r="D158" t="s">
        <v>363</v>
      </c>
      <c r="E158">
        <v>4</v>
      </c>
      <c r="F158">
        <v>23.6</v>
      </c>
      <c r="G158">
        <v>23.6</v>
      </c>
    </row>
    <row r="159" spans="1:7" x14ac:dyDescent="0.25">
      <c r="A159">
        <v>118799019</v>
      </c>
      <c r="B159">
        <v>9084</v>
      </c>
      <c r="C159" t="s">
        <v>364</v>
      </c>
      <c r="D159" t="s">
        <v>365</v>
      </c>
      <c r="E159">
        <v>2</v>
      </c>
      <c r="F159">
        <v>34</v>
      </c>
      <c r="G159">
        <v>34</v>
      </c>
    </row>
    <row r="160" spans="1:7" x14ac:dyDescent="0.25">
      <c r="A160">
        <v>99515702</v>
      </c>
      <c r="B160">
        <v>9084</v>
      </c>
      <c r="C160" t="s">
        <v>366</v>
      </c>
      <c r="D160" t="s">
        <v>367</v>
      </c>
      <c r="E160">
        <v>2</v>
      </c>
      <c r="F160">
        <v>69</v>
      </c>
      <c r="G160">
        <v>69</v>
      </c>
    </row>
    <row r="161" spans="1:7" x14ac:dyDescent="0.25">
      <c r="A161">
        <v>121908832</v>
      </c>
      <c r="B161">
        <v>9084</v>
      </c>
      <c r="C161" t="s">
        <v>368</v>
      </c>
      <c r="D161" t="s">
        <v>369</v>
      </c>
      <c r="E161">
        <v>2</v>
      </c>
      <c r="F161">
        <v>35</v>
      </c>
      <c r="G161">
        <v>35</v>
      </c>
    </row>
    <row r="162" spans="1:7" x14ac:dyDescent="0.25">
      <c r="A162">
        <v>105791653</v>
      </c>
      <c r="B162">
        <v>8283</v>
      </c>
      <c r="C162" t="s">
        <v>370</v>
      </c>
      <c r="D162" t="s">
        <v>371</v>
      </c>
      <c r="E162">
        <v>4</v>
      </c>
      <c r="F162">
        <v>79.599999999999994</v>
      </c>
      <c r="G162">
        <v>79.599999999999994</v>
      </c>
    </row>
    <row r="163" spans="1:7" x14ac:dyDescent="0.25">
      <c r="A163">
        <v>96384894</v>
      </c>
      <c r="B163">
        <v>9084</v>
      </c>
      <c r="C163" t="s">
        <v>372</v>
      </c>
      <c r="D163" t="s">
        <v>373</v>
      </c>
      <c r="E163">
        <v>2</v>
      </c>
      <c r="F163">
        <v>29</v>
      </c>
      <c r="G163">
        <v>29</v>
      </c>
    </row>
    <row r="164" spans="1:7" x14ac:dyDescent="0.25">
      <c r="A164">
        <v>122579780</v>
      </c>
      <c r="B164">
        <v>9084</v>
      </c>
      <c r="C164" t="s">
        <v>374</v>
      </c>
      <c r="D164" t="s">
        <v>375</v>
      </c>
      <c r="E164">
        <v>2</v>
      </c>
      <c r="F164">
        <v>70</v>
      </c>
      <c r="G164">
        <v>70</v>
      </c>
    </row>
    <row r="165" spans="1:7" x14ac:dyDescent="0.25">
      <c r="A165">
        <v>123811009</v>
      </c>
      <c r="B165">
        <v>9084</v>
      </c>
      <c r="C165" t="s">
        <v>376</v>
      </c>
      <c r="D165" t="s">
        <v>377</v>
      </c>
      <c r="E165">
        <v>4</v>
      </c>
      <c r="F165">
        <v>320</v>
      </c>
      <c r="G165">
        <v>320</v>
      </c>
    </row>
    <row r="166" spans="1:7" x14ac:dyDescent="0.25">
      <c r="A166">
        <v>107988939</v>
      </c>
      <c r="B166">
        <v>4337</v>
      </c>
      <c r="C166" t="s">
        <v>378</v>
      </c>
      <c r="D166" t="s">
        <v>379</v>
      </c>
      <c r="E166">
        <v>1</v>
      </c>
      <c r="F166">
        <v>25.7</v>
      </c>
      <c r="G166">
        <v>25.7</v>
      </c>
    </row>
    <row r="167" spans="1:7" x14ac:dyDescent="0.25">
      <c r="A167">
        <v>110566957</v>
      </c>
      <c r="B167">
        <v>9084</v>
      </c>
      <c r="C167" t="s">
        <v>380</v>
      </c>
      <c r="D167" t="s">
        <v>381</v>
      </c>
      <c r="E167">
        <v>4</v>
      </c>
      <c r="F167">
        <v>140</v>
      </c>
      <c r="G167">
        <v>140</v>
      </c>
    </row>
    <row r="168" spans="1:7" x14ac:dyDescent="0.25">
      <c r="A168">
        <v>131992105</v>
      </c>
      <c r="B168">
        <v>8283</v>
      </c>
      <c r="C168" t="s">
        <v>382</v>
      </c>
      <c r="D168" t="s">
        <v>383</v>
      </c>
      <c r="E168">
        <v>4</v>
      </c>
      <c r="F168">
        <v>141.6</v>
      </c>
      <c r="G168">
        <v>141.6</v>
      </c>
    </row>
    <row r="169" spans="1:7" x14ac:dyDescent="0.25">
      <c r="A169">
        <v>115724529</v>
      </c>
      <c r="B169">
        <v>8283</v>
      </c>
      <c r="C169" t="s">
        <v>384</v>
      </c>
      <c r="D169" t="s">
        <v>385</v>
      </c>
      <c r="E169">
        <v>4</v>
      </c>
      <c r="F169">
        <v>415.84</v>
      </c>
      <c r="G169">
        <v>415.84</v>
      </c>
    </row>
    <row r="170" spans="1:7" x14ac:dyDescent="0.25">
      <c r="A170">
        <v>131953033</v>
      </c>
      <c r="B170">
        <v>8283</v>
      </c>
      <c r="C170" t="s">
        <v>386</v>
      </c>
      <c r="D170" t="s">
        <v>387</v>
      </c>
      <c r="E170">
        <v>4</v>
      </c>
      <c r="F170">
        <v>95.6</v>
      </c>
      <c r="G170">
        <v>95.6</v>
      </c>
    </row>
    <row r="171" spans="1:7" x14ac:dyDescent="0.25">
      <c r="A171">
        <v>54518630</v>
      </c>
      <c r="B171">
        <v>4337</v>
      </c>
      <c r="C171" t="s">
        <v>388</v>
      </c>
      <c r="D171" t="s">
        <v>389</v>
      </c>
      <c r="E171">
        <v>1</v>
      </c>
      <c r="F171">
        <v>28.3</v>
      </c>
      <c r="G171">
        <v>28.3</v>
      </c>
    </row>
    <row r="172" spans="1:7" x14ac:dyDescent="0.25">
      <c r="A172">
        <v>123156446</v>
      </c>
      <c r="B172">
        <v>8283</v>
      </c>
      <c r="C172" t="s">
        <v>390</v>
      </c>
      <c r="D172" t="s">
        <v>391</v>
      </c>
      <c r="E172">
        <v>4</v>
      </c>
      <c r="F172">
        <v>286.8</v>
      </c>
      <c r="G172">
        <v>286.8</v>
      </c>
    </row>
    <row r="173" spans="1:7" x14ac:dyDescent="0.25">
      <c r="A173">
        <v>123662725</v>
      </c>
      <c r="B173">
        <v>8283</v>
      </c>
      <c r="C173" t="s">
        <v>392</v>
      </c>
      <c r="D173" t="s">
        <v>393</v>
      </c>
      <c r="E173">
        <v>4</v>
      </c>
      <c r="F173">
        <v>244</v>
      </c>
      <c r="G173">
        <v>244</v>
      </c>
    </row>
    <row r="174" spans="1:7" x14ac:dyDescent="0.25">
      <c r="A174">
        <v>112045733</v>
      </c>
      <c r="B174">
        <v>9084</v>
      </c>
      <c r="C174" t="s">
        <v>394</v>
      </c>
      <c r="D174" t="s">
        <v>395</v>
      </c>
      <c r="E174">
        <v>2</v>
      </c>
      <c r="F174">
        <v>28</v>
      </c>
      <c r="G174">
        <v>28</v>
      </c>
    </row>
    <row r="175" spans="1:7" x14ac:dyDescent="0.25">
      <c r="A175">
        <v>116358838</v>
      </c>
      <c r="B175">
        <v>8283</v>
      </c>
      <c r="C175" t="s">
        <v>396</v>
      </c>
      <c r="D175" t="s">
        <v>397</v>
      </c>
      <c r="E175">
        <v>4</v>
      </c>
      <c r="F175">
        <v>103.6</v>
      </c>
      <c r="G175">
        <v>103.6</v>
      </c>
    </row>
    <row r="176" spans="1:7" x14ac:dyDescent="0.25">
      <c r="A176">
        <v>123298532</v>
      </c>
      <c r="B176">
        <v>8283</v>
      </c>
      <c r="C176" t="s">
        <v>398</v>
      </c>
      <c r="D176" t="s">
        <v>399</v>
      </c>
      <c r="E176">
        <v>4</v>
      </c>
      <c r="F176">
        <v>374.8</v>
      </c>
      <c r="G176">
        <v>374.8</v>
      </c>
    </row>
    <row r="177" spans="1:7" x14ac:dyDescent="0.25">
      <c r="A177">
        <v>128741742</v>
      </c>
      <c r="B177">
        <v>8283</v>
      </c>
      <c r="C177" t="s">
        <v>400</v>
      </c>
      <c r="D177" t="s">
        <v>401</v>
      </c>
      <c r="E177">
        <v>4</v>
      </c>
      <c r="F177">
        <v>87.6</v>
      </c>
      <c r="G177">
        <v>87.6</v>
      </c>
    </row>
    <row r="178" spans="1:7" x14ac:dyDescent="0.25">
      <c r="A178">
        <v>115289722</v>
      </c>
      <c r="B178">
        <v>9084</v>
      </c>
      <c r="C178" t="s">
        <v>402</v>
      </c>
      <c r="D178" t="s">
        <v>403</v>
      </c>
      <c r="E178">
        <v>4</v>
      </c>
      <c r="F178">
        <v>344</v>
      </c>
      <c r="G178">
        <v>344</v>
      </c>
    </row>
    <row r="179" spans="1:7" x14ac:dyDescent="0.25">
      <c r="A179">
        <v>119636391</v>
      </c>
      <c r="B179">
        <v>8283</v>
      </c>
      <c r="C179" t="s">
        <v>404</v>
      </c>
      <c r="D179" t="s">
        <v>405</v>
      </c>
      <c r="E179">
        <v>4</v>
      </c>
      <c r="F179">
        <v>179.6</v>
      </c>
      <c r="G179">
        <v>179.6</v>
      </c>
    </row>
    <row r="180" spans="1:7" x14ac:dyDescent="0.25">
      <c r="A180">
        <v>124194410</v>
      </c>
      <c r="B180">
        <v>9084</v>
      </c>
      <c r="C180" t="s">
        <v>406</v>
      </c>
      <c r="D180" t="s">
        <v>407</v>
      </c>
      <c r="E180">
        <v>4</v>
      </c>
      <c r="F180">
        <v>252</v>
      </c>
      <c r="G180">
        <v>252</v>
      </c>
    </row>
    <row r="181" spans="1:7" x14ac:dyDescent="0.25">
      <c r="A181">
        <v>124794741</v>
      </c>
      <c r="B181">
        <v>9084</v>
      </c>
      <c r="C181" t="s">
        <v>408</v>
      </c>
      <c r="D181" t="s">
        <v>409</v>
      </c>
      <c r="E181">
        <v>4</v>
      </c>
      <c r="F181">
        <v>128</v>
      </c>
      <c r="G181">
        <v>128</v>
      </c>
    </row>
    <row r="182" spans="1:7" x14ac:dyDescent="0.25">
      <c r="A182">
        <v>133908424</v>
      </c>
      <c r="B182">
        <v>8283</v>
      </c>
      <c r="C182" t="s">
        <v>410</v>
      </c>
      <c r="D182" t="s">
        <v>411</v>
      </c>
      <c r="E182">
        <v>4</v>
      </c>
      <c r="F182">
        <v>856.8</v>
      </c>
      <c r="G182">
        <v>856.8</v>
      </c>
    </row>
    <row r="183" spans="1:7" x14ac:dyDescent="0.25">
      <c r="A183">
        <v>101455224</v>
      </c>
      <c r="B183">
        <v>9084</v>
      </c>
      <c r="C183" t="s">
        <v>412</v>
      </c>
      <c r="D183" t="s">
        <v>413</v>
      </c>
      <c r="E183">
        <v>4</v>
      </c>
      <c r="F183">
        <v>48</v>
      </c>
      <c r="G183">
        <v>48</v>
      </c>
    </row>
    <row r="184" spans="1:7" x14ac:dyDescent="0.25">
      <c r="A184">
        <v>127291591</v>
      </c>
      <c r="B184">
        <v>8283</v>
      </c>
      <c r="C184" t="s">
        <v>414</v>
      </c>
      <c r="D184" t="s">
        <v>415</v>
      </c>
      <c r="E184">
        <v>4</v>
      </c>
      <c r="F184">
        <v>48</v>
      </c>
      <c r="G184">
        <v>48</v>
      </c>
    </row>
    <row r="185" spans="1:7" x14ac:dyDescent="0.25">
      <c r="A185">
        <v>106638785</v>
      </c>
      <c r="B185">
        <v>8283</v>
      </c>
      <c r="C185" t="s">
        <v>416</v>
      </c>
      <c r="D185" t="s">
        <v>417</v>
      </c>
      <c r="E185">
        <v>4</v>
      </c>
      <c r="F185">
        <v>48</v>
      </c>
      <c r="G185">
        <v>48</v>
      </c>
    </row>
    <row r="186" spans="1:7" x14ac:dyDescent="0.25">
      <c r="A186">
        <v>118294642</v>
      </c>
      <c r="B186">
        <v>9084</v>
      </c>
      <c r="C186" t="s">
        <v>418</v>
      </c>
      <c r="D186" t="s">
        <v>419</v>
      </c>
      <c r="E186">
        <v>4</v>
      </c>
      <c r="F186">
        <v>52</v>
      </c>
      <c r="G186">
        <v>52</v>
      </c>
    </row>
    <row r="187" spans="1:7" x14ac:dyDescent="0.25">
      <c r="A187">
        <v>92105213</v>
      </c>
      <c r="B187">
        <v>1796</v>
      </c>
      <c r="C187" t="s">
        <v>420</v>
      </c>
      <c r="D187" t="s">
        <v>421</v>
      </c>
      <c r="E187">
        <v>4</v>
      </c>
      <c r="F187">
        <v>54</v>
      </c>
      <c r="G187">
        <v>54</v>
      </c>
    </row>
    <row r="188" spans="1:7" x14ac:dyDescent="0.25">
      <c r="A188">
        <v>92114634</v>
      </c>
      <c r="B188">
        <v>1796</v>
      </c>
      <c r="C188" t="s">
        <v>422</v>
      </c>
      <c r="D188" t="s">
        <v>423</v>
      </c>
      <c r="E188">
        <v>4</v>
      </c>
      <c r="F188">
        <v>54</v>
      </c>
      <c r="G188">
        <v>54</v>
      </c>
    </row>
    <row r="189" spans="1:7" x14ac:dyDescent="0.25">
      <c r="A189">
        <v>92124631</v>
      </c>
      <c r="B189">
        <v>1796</v>
      </c>
      <c r="C189" t="s">
        <v>424</v>
      </c>
      <c r="D189" t="s">
        <v>425</v>
      </c>
      <c r="E189">
        <v>4</v>
      </c>
      <c r="F189">
        <v>54</v>
      </c>
      <c r="G189">
        <v>54</v>
      </c>
    </row>
    <row r="190" spans="1:7" x14ac:dyDescent="0.25">
      <c r="A190">
        <v>99936708</v>
      </c>
      <c r="B190">
        <v>9084</v>
      </c>
      <c r="C190" t="s">
        <v>426</v>
      </c>
      <c r="D190" t="s">
        <v>427</v>
      </c>
      <c r="E190">
        <v>2</v>
      </c>
      <c r="F190">
        <v>14</v>
      </c>
      <c r="G190">
        <v>14</v>
      </c>
    </row>
    <row r="191" spans="1:7" x14ac:dyDescent="0.25">
      <c r="A191">
        <v>102094042</v>
      </c>
      <c r="B191">
        <v>9084</v>
      </c>
      <c r="C191" t="s">
        <v>428</v>
      </c>
      <c r="D191" t="s">
        <v>429</v>
      </c>
      <c r="E191">
        <v>2</v>
      </c>
      <c r="F191">
        <v>14</v>
      </c>
      <c r="G191">
        <v>14</v>
      </c>
    </row>
    <row r="192" spans="1:7" x14ac:dyDescent="0.25">
      <c r="A192">
        <v>122157048</v>
      </c>
      <c r="B192">
        <v>8283</v>
      </c>
      <c r="C192" t="s">
        <v>430</v>
      </c>
      <c r="D192" t="s">
        <v>431</v>
      </c>
      <c r="E192">
        <v>4</v>
      </c>
      <c r="F192">
        <v>20</v>
      </c>
      <c r="G192">
        <v>20</v>
      </c>
    </row>
    <row r="193" spans="1:7" x14ac:dyDescent="0.25">
      <c r="A193">
        <v>119148136</v>
      </c>
      <c r="B193">
        <v>8283</v>
      </c>
      <c r="C193" t="s">
        <v>432</v>
      </c>
      <c r="D193" t="s">
        <v>433</v>
      </c>
      <c r="E193">
        <v>4</v>
      </c>
      <c r="F193">
        <v>20</v>
      </c>
      <c r="G193">
        <v>20</v>
      </c>
    </row>
    <row r="194" spans="1:7" x14ac:dyDescent="0.25">
      <c r="A194">
        <v>91782743</v>
      </c>
      <c r="B194">
        <v>1796</v>
      </c>
      <c r="C194" t="s">
        <v>434</v>
      </c>
      <c r="D194" t="s">
        <v>435</v>
      </c>
      <c r="E194">
        <v>4</v>
      </c>
      <c r="F194">
        <v>26</v>
      </c>
      <c r="G194">
        <v>26</v>
      </c>
    </row>
    <row r="195" spans="1:7" x14ac:dyDescent="0.25">
      <c r="A195">
        <v>106323184</v>
      </c>
      <c r="B195">
        <v>9084</v>
      </c>
      <c r="C195" t="s">
        <v>436</v>
      </c>
      <c r="D195" t="s">
        <v>437</v>
      </c>
      <c r="E195">
        <v>2</v>
      </c>
      <c r="F195">
        <v>12</v>
      </c>
      <c r="G195">
        <v>12</v>
      </c>
    </row>
    <row r="196" spans="1:7" x14ac:dyDescent="0.25">
      <c r="A196">
        <v>91906878</v>
      </c>
      <c r="B196">
        <v>1796</v>
      </c>
      <c r="C196" t="s">
        <v>438</v>
      </c>
      <c r="D196" t="s">
        <v>439</v>
      </c>
      <c r="E196">
        <v>4</v>
      </c>
      <c r="F196">
        <v>50</v>
      </c>
      <c r="G196">
        <v>50</v>
      </c>
    </row>
    <row r="197" spans="1:7" x14ac:dyDescent="0.25">
      <c r="A197">
        <v>106060878</v>
      </c>
      <c r="B197">
        <v>9084</v>
      </c>
      <c r="C197" t="s">
        <v>440</v>
      </c>
      <c r="D197" t="s">
        <v>441</v>
      </c>
      <c r="E197">
        <v>2</v>
      </c>
      <c r="F197">
        <v>13</v>
      </c>
      <c r="G197">
        <v>13</v>
      </c>
    </row>
    <row r="198" spans="1:7" x14ac:dyDescent="0.25">
      <c r="A198">
        <v>123575994</v>
      </c>
      <c r="B198">
        <v>9084</v>
      </c>
      <c r="C198" t="s">
        <v>442</v>
      </c>
      <c r="D198" t="s">
        <v>443</v>
      </c>
      <c r="E198">
        <v>4</v>
      </c>
      <c r="F198">
        <v>52</v>
      </c>
      <c r="G198">
        <v>52</v>
      </c>
    </row>
    <row r="199" spans="1:7" x14ac:dyDescent="0.25">
      <c r="A199">
        <v>120209986</v>
      </c>
      <c r="B199">
        <v>9084</v>
      </c>
      <c r="C199" t="s">
        <v>444</v>
      </c>
      <c r="D199" t="s">
        <v>445</v>
      </c>
      <c r="E199">
        <v>2</v>
      </c>
      <c r="F199">
        <v>13</v>
      </c>
      <c r="G199">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46BA-FDA5-4C96-B47C-87FE153DCAA1}">
  <sheetPr>
    <tabColor theme="5" tint="0.79998168889431442"/>
  </sheetPr>
  <dimension ref="A1:P34"/>
  <sheetViews>
    <sheetView showGridLines="0" topLeftCell="A6" zoomScale="73" zoomScaleNormal="73" workbookViewId="0">
      <selection activeCell="L33" sqref="L33"/>
    </sheetView>
  </sheetViews>
  <sheetFormatPr defaultColWidth="11.5703125" defaultRowHeight="15" x14ac:dyDescent="0.25"/>
  <cols>
    <col min="3" max="5" width="19" customWidth="1"/>
    <col min="10" max="10" width="12.7109375" bestFit="1" customWidth="1"/>
    <col min="16" max="16" width="14" customWidth="1"/>
  </cols>
  <sheetData>
    <row r="1" spans="1:11" s="1" customFormat="1" x14ac:dyDescent="0.25"/>
    <row r="2" spans="1:11" s="1" customFormat="1" ht="63.75" x14ac:dyDescent="1">
      <c r="A2" s="2" t="s">
        <v>494</v>
      </c>
    </row>
    <row r="3" spans="1:11" s="3" customFormat="1" ht="15.75" thickBot="1" x14ac:dyDescent="0.3"/>
    <row r="6" spans="1:11" ht="21" x14ac:dyDescent="0.35">
      <c r="J6" s="48" t="s">
        <v>453</v>
      </c>
      <c r="K6" s="49" t="s">
        <v>452</v>
      </c>
    </row>
    <row r="7" spans="1:11" ht="21" x14ac:dyDescent="0.35">
      <c r="J7" s="48"/>
      <c r="K7" s="49"/>
    </row>
    <row r="8" spans="1:11" ht="21" x14ac:dyDescent="0.35">
      <c r="J8" s="48" t="s">
        <v>454</v>
      </c>
      <c r="K8" s="49" t="s">
        <v>85</v>
      </c>
    </row>
    <row r="9" spans="1:11" ht="21" x14ac:dyDescent="0.35">
      <c r="J9" s="48"/>
      <c r="K9" s="49"/>
    </row>
    <row r="10" spans="1:11" ht="21" x14ac:dyDescent="0.35">
      <c r="J10" s="48" t="s">
        <v>456</v>
      </c>
      <c r="K10" s="49" t="s">
        <v>451</v>
      </c>
    </row>
    <row r="11" spans="1:11" ht="21" x14ac:dyDescent="0.35">
      <c r="J11" s="48"/>
      <c r="K11" s="50"/>
    </row>
    <row r="12" spans="1:11" ht="21" x14ac:dyDescent="0.35">
      <c r="J12" s="48" t="s">
        <v>455</v>
      </c>
      <c r="K12" s="49" t="s">
        <v>450</v>
      </c>
    </row>
    <row r="13" spans="1:11" ht="21" x14ac:dyDescent="0.35">
      <c r="J13" s="50"/>
      <c r="K13" s="50"/>
    </row>
    <row r="14" spans="1:11" ht="21" x14ac:dyDescent="0.35">
      <c r="J14" s="48" t="s">
        <v>457</v>
      </c>
      <c r="K14" s="49" t="s">
        <v>458</v>
      </c>
    </row>
    <row r="15" spans="1:11" ht="21" x14ac:dyDescent="0.35">
      <c r="J15" s="50"/>
      <c r="K15" s="50"/>
    </row>
    <row r="16" spans="1:11" ht="21" x14ac:dyDescent="0.35">
      <c r="J16" s="50"/>
      <c r="K16" s="49"/>
    </row>
    <row r="17" spans="3:16" ht="21" x14ac:dyDescent="0.35">
      <c r="J17" s="50"/>
      <c r="K17" s="50"/>
    </row>
    <row r="18" spans="3:16" ht="21" x14ac:dyDescent="0.35">
      <c r="J18" s="50"/>
      <c r="K18" s="49" t="s">
        <v>459</v>
      </c>
    </row>
    <row r="25" spans="3:16" ht="15.75" thickBot="1" x14ac:dyDescent="0.3"/>
    <row r="26" spans="3:16" ht="26.25" thickBot="1" x14ac:dyDescent="0.4">
      <c r="C26" s="27" t="s">
        <v>614</v>
      </c>
      <c r="D26" s="27" t="s">
        <v>471</v>
      </c>
      <c r="E26" s="27" t="s">
        <v>494</v>
      </c>
      <c r="G26" s="51" t="s">
        <v>562</v>
      </c>
      <c r="H26" s="50"/>
      <c r="I26" s="50"/>
      <c r="J26" s="50"/>
      <c r="K26" s="50"/>
      <c r="L26" s="50"/>
      <c r="M26" s="50"/>
      <c r="N26" s="50"/>
      <c r="O26" s="50"/>
    </row>
    <row r="27" spans="3:16" ht="26.25" thickBot="1" x14ac:dyDescent="0.4">
      <c r="C27" s="28" t="s">
        <v>606</v>
      </c>
      <c r="D27" s="28" t="s">
        <v>482</v>
      </c>
      <c r="E27" s="28" t="s">
        <v>483</v>
      </c>
      <c r="G27" s="51" t="s">
        <v>563</v>
      </c>
      <c r="H27" s="50"/>
      <c r="I27" s="50"/>
      <c r="J27" s="50"/>
      <c r="K27" s="50"/>
      <c r="L27" s="50"/>
      <c r="M27" s="50"/>
      <c r="N27" s="50"/>
      <c r="O27" s="50"/>
    </row>
    <row r="28" spans="3:16" ht="26.25" thickBot="1" x14ac:dyDescent="0.4">
      <c r="C28" s="28" t="s">
        <v>484</v>
      </c>
      <c r="D28" s="28" t="s">
        <v>483</v>
      </c>
      <c r="E28" s="28" t="s">
        <v>482</v>
      </c>
      <c r="G28" s="52" t="s">
        <v>564</v>
      </c>
      <c r="H28" s="50"/>
      <c r="I28" s="50"/>
      <c r="J28" s="50"/>
      <c r="K28" s="50"/>
      <c r="L28" s="50"/>
      <c r="M28" s="50"/>
      <c r="N28" s="50"/>
      <c r="O28" s="50"/>
    </row>
    <row r="29" spans="3:16" ht="21.75" thickBot="1" x14ac:dyDescent="0.4">
      <c r="C29" s="28" t="s">
        <v>607</v>
      </c>
      <c r="D29" s="28" t="s">
        <v>485</v>
      </c>
      <c r="E29" s="28" t="s">
        <v>482</v>
      </c>
      <c r="G29" s="53"/>
      <c r="H29" s="50"/>
      <c r="I29" s="50"/>
      <c r="J29" s="50"/>
      <c r="K29" s="50"/>
      <c r="L29" s="50"/>
      <c r="M29" s="50"/>
      <c r="N29" s="50"/>
      <c r="O29" s="50"/>
    </row>
    <row r="30" spans="3:16" ht="33.75" thickBot="1" x14ac:dyDescent="0.4">
      <c r="C30" s="28" t="s">
        <v>608</v>
      </c>
      <c r="D30" s="28" t="s">
        <v>486</v>
      </c>
      <c r="E30" s="28" t="s">
        <v>613</v>
      </c>
      <c r="G30" s="54" t="s">
        <v>620</v>
      </c>
      <c r="H30" s="55"/>
      <c r="I30" s="55"/>
      <c r="J30" s="58"/>
      <c r="K30" s="50"/>
      <c r="L30" s="57" t="s">
        <v>558</v>
      </c>
      <c r="M30" s="56"/>
      <c r="N30" s="56"/>
      <c r="O30" s="57"/>
      <c r="P30" s="57"/>
    </row>
    <row r="31" spans="3:16" ht="33.75" thickBot="1" x14ac:dyDescent="0.4">
      <c r="C31" s="28" t="s">
        <v>609</v>
      </c>
      <c r="D31" s="28" t="s">
        <v>612</v>
      </c>
      <c r="E31" s="28" t="s">
        <v>615</v>
      </c>
      <c r="G31" s="58" t="s">
        <v>561</v>
      </c>
      <c r="H31" s="55"/>
      <c r="I31" s="55"/>
      <c r="J31" s="58"/>
      <c r="K31" s="50"/>
      <c r="L31" s="59" t="s">
        <v>487</v>
      </c>
      <c r="M31" s="56"/>
      <c r="N31" s="56"/>
      <c r="O31" s="57"/>
      <c r="P31" s="57"/>
    </row>
    <row r="32" spans="3:16" ht="33.75" thickBot="1" x14ac:dyDescent="0.4">
      <c r="C32" s="28" t="s">
        <v>610</v>
      </c>
      <c r="D32" s="28" t="s">
        <v>616</v>
      </c>
      <c r="E32" s="28" t="s">
        <v>617</v>
      </c>
      <c r="G32" s="58" t="s">
        <v>565</v>
      </c>
      <c r="H32" s="55"/>
      <c r="I32" s="55"/>
      <c r="J32" s="58"/>
      <c r="K32" s="50"/>
      <c r="L32" s="59" t="s">
        <v>559</v>
      </c>
      <c r="M32" s="56"/>
      <c r="N32" s="56"/>
      <c r="O32" s="57"/>
      <c r="P32" s="57"/>
    </row>
    <row r="33" spans="3:16" ht="50.25" thickBot="1" x14ac:dyDescent="0.4">
      <c r="C33" s="28" t="s">
        <v>611</v>
      </c>
      <c r="D33" s="28" t="s">
        <v>618</v>
      </c>
      <c r="E33" s="28" t="s">
        <v>619</v>
      </c>
      <c r="G33" s="58" t="s">
        <v>560</v>
      </c>
      <c r="H33" s="55"/>
      <c r="I33" s="55"/>
      <c r="J33" s="58"/>
      <c r="K33" s="50"/>
      <c r="L33" s="59" t="s">
        <v>621</v>
      </c>
      <c r="M33" s="56"/>
      <c r="N33" s="56"/>
      <c r="O33" s="57"/>
      <c r="P33" s="57"/>
    </row>
    <row r="34" spans="3:16" x14ac:dyDescent="0.25">
      <c r="G34" s="29"/>
    </row>
  </sheetData>
  <hyperlinks>
    <hyperlink ref="K12" r:id="rId1" xr:uid="{33DDB279-CA93-45A5-9B8B-A53F8847F9E7}"/>
    <hyperlink ref="K18" r:id="rId2" xr:uid="{A6E72F2A-56DC-4322-AE73-376B41AC8B56}"/>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45CB-305D-4C9A-8FAB-3035D52BBF1E}">
  <dimension ref="A1:F33"/>
  <sheetViews>
    <sheetView tabSelected="1" topLeftCell="A2" workbookViewId="0">
      <selection activeCell="C12" sqref="C12"/>
    </sheetView>
  </sheetViews>
  <sheetFormatPr defaultColWidth="11.5703125" defaultRowHeight="15" x14ac:dyDescent="0.25"/>
  <cols>
    <col min="1" max="1" width="14.28515625" customWidth="1"/>
    <col min="3" max="3" width="13" bestFit="1" customWidth="1"/>
    <col min="5" max="5" width="17.28515625" customWidth="1"/>
  </cols>
  <sheetData>
    <row r="1" spans="1:6" s="1" customFormat="1" x14ac:dyDescent="0.25"/>
    <row r="2" spans="1:6" s="1" customFormat="1" ht="63.75" x14ac:dyDescent="1">
      <c r="A2" s="2" t="s">
        <v>0</v>
      </c>
    </row>
    <row r="3" spans="1:6" s="3" customFormat="1" ht="15.75" thickBot="1" x14ac:dyDescent="0.3"/>
    <row r="5" spans="1:6" ht="20.25" thickBot="1" x14ac:dyDescent="0.35">
      <c r="A5" s="18" t="s">
        <v>622</v>
      </c>
      <c r="C5" s="8" t="s">
        <v>497</v>
      </c>
      <c r="E5" s="8" t="s">
        <v>496</v>
      </c>
    </row>
    <row r="6" spans="1:6" ht="15.75" thickTop="1" x14ac:dyDescent="0.25">
      <c r="A6" s="1">
        <v>15</v>
      </c>
      <c r="C6" cm="1" vm="1">
        <f t="array" ref="C6">_xlfn._xlws.PY(0,1,A6)</f>
        <v>15</v>
      </c>
      <c r="E6" cm="1" vm="2">
        <f t="array" ref="E6">_xlfn._xlws.PY(1,1,A6)</f>
        <v>15</v>
      </c>
    </row>
    <row r="8" spans="1:6" ht="20.25" thickBot="1" x14ac:dyDescent="0.35">
      <c r="C8" s="8" t="s">
        <v>498</v>
      </c>
    </row>
    <row r="9" spans="1:6" ht="15.75" thickTop="1" x14ac:dyDescent="0.25">
      <c r="C9" cm="1" vm="3">
        <f t="array" ref="C9">_xlfn._xlws.PY(2,1,A6,Variables!E2,one_hundred)</f>
        <v>116</v>
      </c>
    </row>
    <row r="11" spans="1:6" ht="20.25" thickBot="1" x14ac:dyDescent="0.35">
      <c r="C11" s="8" t="s">
        <v>499</v>
      </c>
      <c r="E11" s="8" t="s">
        <v>500</v>
      </c>
    </row>
    <row r="12" spans="1:6" ht="45.75" thickTop="1" x14ac:dyDescent="0.25">
      <c r="C12" t="str" cm="1">
        <f t="array" ref="C12">_xlfn._xlws.PY(3,0,A6)</f>
        <v xml:space="preserve"> square of 15 = 225</v>
      </c>
      <c r="E12" s="45" t="str" cm="1" vm="4">
        <f t="array" ref="E12">_xlfn._xlws.PY(4,1)</f>
        <v xml:space="preserve">10 + 5 = 15
This is PYTHON
Price: 12.35 </v>
      </c>
    </row>
    <row r="15" spans="1:6" ht="20.25" thickBot="1" x14ac:dyDescent="0.35">
      <c r="A15" s="13" t="s">
        <v>507</v>
      </c>
      <c r="B15" s="14"/>
      <c r="C15" s="14"/>
      <c r="D15" s="14"/>
      <c r="E15" s="14"/>
      <c r="F15" s="14"/>
    </row>
    <row r="16" spans="1:6" ht="15.75" thickTop="1" x14ac:dyDescent="0.25">
      <c r="A16" s="14" t="str" cm="1">
        <f t="array" ref="A16">_xlfn._xlws.PY(5,0,Variables!A2,VATrate,Variables!A4,Variables!B4)</f>
        <v>Tax rate : 8.10% *** VIP discount :  10.25% // Rounded discount: 10%</v>
      </c>
      <c r="B16" s="14"/>
      <c r="C16" s="14"/>
      <c r="D16" s="14"/>
      <c r="E16" s="14"/>
      <c r="F16" s="14"/>
    </row>
    <row r="18" spans="1:4" ht="20.25" thickBot="1" x14ac:dyDescent="0.35">
      <c r="A18" s="13" t="s">
        <v>505</v>
      </c>
      <c r="D18" s="13" t="s">
        <v>506</v>
      </c>
    </row>
    <row r="19" spans="1:4" ht="15.75" thickTop="1" x14ac:dyDescent="0.25">
      <c r="A19" s="14" t="str" cm="1" vm="5">
        <f t="array" ref="A19">_xlfn._xlws.PY(6,1,A6)</f>
        <v>Positive</v>
      </c>
      <c r="D19" s="14" t="str" cm="1" vm="5">
        <f t="array" ref="D19">_xlfn._xlws.PY(7,1,A6)</f>
        <v>Positive</v>
      </c>
    </row>
    <row r="21" spans="1:4" ht="20.25" thickBot="1" x14ac:dyDescent="0.35">
      <c r="A21" s="13" t="s">
        <v>508</v>
      </c>
      <c r="B21" s="13" t="s">
        <v>510</v>
      </c>
      <c r="C21" s="13" t="s">
        <v>511</v>
      </c>
      <c r="D21" s="13" t="s">
        <v>512</v>
      </c>
    </row>
    <row r="22" spans="1:4" ht="15.75" thickTop="1" x14ac:dyDescent="0.25">
      <c r="A22" s="22" cm="1" vm="6">
        <f t="array" ref="A22">_xlfn._xlws.PY(8,0)</f>
        <v>0</v>
      </c>
      <c r="B22" s="22" cm="1" vm="7">
        <f t="array" ref="B22">_xlfn._xlws.PY(9,1)</f>
        <v>0</v>
      </c>
      <c r="C22" s="22" cm="1" vm="7">
        <f t="array" ref="C22">_xlfn._xlws.PY(10,1)</f>
        <v>0</v>
      </c>
      <c r="D22" s="22" cm="1" vm="7">
        <f t="array" ref="D22">_xlfn._xlws.PY(11,1)</f>
        <v>0</v>
      </c>
    </row>
    <row r="28" spans="1:4" ht="20.25" thickBot="1" x14ac:dyDescent="0.35">
      <c r="A28" s="13" t="s">
        <v>509</v>
      </c>
    </row>
    <row r="29" spans="1:4" ht="15.75" thickTop="1" x14ac:dyDescent="0.25">
      <c r="A29" t="str" cm="1" vm="8">
        <f t="array" ref="A29">_xlfn._xlws.PY(12,1,Variables!E2:N2)</f>
        <v>output: 0, 2, 4, 60, 70, 80, 90</v>
      </c>
      <c r="C29" s="14" cm="1">
        <f t="array" ref="C29:C33">_xlfn._xlws.PY(13,0,Variables!E2:N2)</f>
        <v>0</v>
      </c>
    </row>
    <row r="30" spans="1:4" x14ac:dyDescent="0.25">
      <c r="C30">
        <v>2</v>
      </c>
    </row>
    <row r="31" spans="1:4" x14ac:dyDescent="0.25">
      <c r="C31">
        <v>4</v>
      </c>
    </row>
    <row r="32" spans="1:4" x14ac:dyDescent="0.25">
      <c r="C32">
        <v>60</v>
      </c>
    </row>
    <row r="33" spans="3:3" x14ac:dyDescent="0.25">
      <c r="C33">
        <v>80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A056-C6A8-4113-9E6B-2A6F5EF39FAB}">
  <dimension ref="A3:I16"/>
  <sheetViews>
    <sheetView workbookViewId="0">
      <selection activeCell="I4" sqref="I4"/>
    </sheetView>
  </sheetViews>
  <sheetFormatPr defaultColWidth="9.140625" defaultRowHeight="15" x14ac:dyDescent="0.25"/>
  <cols>
    <col min="1" max="1" width="10.140625" bestFit="1" customWidth="1"/>
    <col min="3" max="3" width="13.7109375" customWidth="1"/>
    <col min="6" max="6" width="14.28515625" customWidth="1"/>
  </cols>
  <sheetData>
    <row r="3" spans="1:9" ht="18" thickBot="1" x14ac:dyDescent="0.35">
      <c r="A3" s="37" t="s">
        <v>513</v>
      </c>
      <c r="B3" s="37"/>
      <c r="C3" s="37"/>
      <c r="F3" s="37" t="s">
        <v>514</v>
      </c>
      <c r="I3" s="37" t="s">
        <v>515</v>
      </c>
    </row>
    <row r="4" spans="1:9" ht="15.75" thickTop="1" x14ac:dyDescent="0.25">
      <c r="F4" t="str" cm="1" vm="9">
        <f t="array" ref="F4">_xlfn._xlws.PY(14,1)</f>
        <v>Days remaining: -50</v>
      </c>
      <c r="I4" t="str" cm="1" vm="10">
        <f t="array" ref="I4">_xlfn._xlws.PY(15,1)</f>
        <v>There are 68 working days remaining this year.</v>
      </c>
    </row>
    <row r="5" spans="1:9" x14ac:dyDescent="0.25">
      <c r="A5" t="s">
        <v>476</v>
      </c>
      <c r="C5" cm="1" vm="11">
        <f t="array" ref="C5">_xlfn._xlws.PY(16,0,A5)</f>
        <v>45641</v>
      </c>
    </row>
    <row r="6" spans="1:9" x14ac:dyDescent="0.25">
      <c r="A6" s="26">
        <v>45608</v>
      </c>
      <c r="C6" cm="1" vm="12">
        <f t="array" ref="C6">_xlfn._xlws.PY(16,0,A6)</f>
        <v>45608</v>
      </c>
    </row>
    <row r="7" spans="1:9" x14ac:dyDescent="0.25">
      <c r="A7" s="26">
        <v>45305</v>
      </c>
      <c r="C7" cm="1" vm="13">
        <f t="array" ref="C7">_xlfn._xlws.PY(16,0,A7)</f>
        <v>45305</v>
      </c>
    </row>
    <row r="8" spans="1:9" x14ac:dyDescent="0.25">
      <c r="A8" s="11">
        <v>45513</v>
      </c>
      <c r="C8" cm="1" vm="14">
        <f t="array" ref="C8">_xlfn._xlws.PY(16,0,A8)</f>
        <v>45513</v>
      </c>
    </row>
    <row r="9" spans="1:9" x14ac:dyDescent="0.25">
      <c r="A9" s="11">
        <v>45786</v>
      </c>
      <c r="C9" cm="1" vm="15">
        <f t="array" ref="C9">_xlfn._xlws.PY(16,0,A9)</f>
        <v>45786</v>
      </c>
    </row>
    <row r="10" spans="1:9" x14ac:dyDescent="0.25">
      <c r="A10" t="s">
        <v>477</v>
      </c>
      <c r="C10" cm="1" vm="16">
        <f t="array" ref="C10">_xlfn._xlws.PY(16,0,A10)</f>
        <v>45618</v>
      </c>
    </row>
    <row r="11" spans="1:9" x14ac:dyDescent="0.25">
      <c r="A11" t="s">
        <v>478</v>
      </c>
      <c r="C11" cm="1" vm="17">
        <f t="array" ref="C11">_xlfn._xlws.PY(16,0,A11)</f>
        <v>45607</v>
      </c>
    </row>
    <row r="12" spans="1:9" x14ac:dyDescent="0.25">
      <c r="A12" t="s">
        <v>479</v>
      </c>
      <c r="C12" cm="1" vm="18">
        <f t="array" ref="C12">_xlfn._xlws.PY(16,0,A12)</f>
        <v>45610</v>
      </c>
    </row>
    <row r="13" spans="1:9" x14ac:dyDescent="0.25">
      <c r="A13" s="26">
        <v>45575</v>
      </c>
      <c r="C13" cm="1" vm="19">
        <f t="array" ref="C13">_xlfn._xlws.PY(16,0,A13)</f>
        <v>45575</v>
      </c>
    </row>
    <row r="14" spans="1:9" x14ac:dyDescent="0.25">
      <c r="A14" t="s">
        <v>480</v>
      </c>
      <c r="C14" cm="1" vm="20">
        <f t="array" ref="C14">_xlfn._xlws.PY(16,0,A14)</f>
        <v>45580</v>
      </c>
    </row>
    <row r="15" spans="1:9" x14ac:dyDescent="0.25">
      <c r="A15" s="11">
        <v>45781</v>
      </c>
      <c r="C15" cm="1" vm="21">
        <f t="array" ref="C15">_xlfn._xlws.PY(16,0,A15)</f>
        <v>45781</v>
      </c>
    </row>
    <row r="16" spans="1:9" x14ac:dyDescent="0.25">
      <c r="A16" t="s">
        <v>481</v>
      </c>
      <c r="C16" cm="1" vm="22">
        <f t="array" ref="C16">_xlfn._xlws.PY(16,0,A16)</f>
        <v>45394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9374C-DD4E-46D1-95A0-17808DC63DC5}">
  <dimension ref="A2:P85"/>
  <sheetViews>
    <sheetView workbookViewId="0">
      <selection activeCell="G2" sqref="G2"/>
    </sheetView>
  </sheetViews>
  <sheetFormatPr defaultColWidth="11.5703125" defaultRowHeight="16.5" x14ac:dyDescent="0.25"/>
  <cols>
    <col min="1" max="1" width="27.7109375" customWidth="1"/>
    <col min="2" max="2" width="13.42578125" customWidth="1"/>
    <col min="7" max="7" width="15.28515625" bestFit="1" customWidth="1"/>
    <col min="8" max="8" width="16.5703125" customWidth="1"/>
    <col min="10" max="10" width="16.28515625" bestFit="1" customWidth="1"/>
    <col min="12" max="12" width="22.28515625" bestFit="1" customWidth="1"/>
    <col min="16" max="16" width="11.42578125" style="6"/>
  </cols>
  <sheetData>
    <row r="2" spans="1:16" ht="18.75" x14ac:dyDescent="0.3">
      <c r="A2" s="47" t="s">
        <v>84</v>
      </c>
      <c r="B2" s="23" t="s">
        <v>85</v>
      </c>
      <c r="G2" s="31" t="str" cm="1" vm="23">
        <f t="array" ref="G2">_xlfn._xlws.PY(17,1,tbl_service[#All])</f>
        <v>Creating the df_service dataframe</v>
      </c>
      <c r="H2" s="31"/>
      <c r="L2" s="65" t="s">
        <v>516</v>
      </c>
      <c r="M2" s="65"/>
      <c r="N2" s="65"/>
      <c r="O2" s="65"/>
      <c r="P2" s="65"/>
    </row>
    <row r="3" spans="1:16" ht="17.25" x14ac:dyDescent="0.3">
      <c r="L3" s="6" t="s">
        <v>40</v>
      </c>
      <c r="M3" s="46" t="s">
        <v>519</v>
      </c>
    </row>
    <row r="4" spans="1:16" ht="17.25" x14ac:dyDescent="0.3">
      <c r="L4" s="9" t="s">
        <v>41</v>
      </c>
      <c r="M4" s="46" t="s">
        <v>520</v>
      </c>
    </row>
    <row r="5" spans="1:16" ht="17.25" x14ac:dyDescent="0.3">
      <c r="L5" s="9" t="s">
        <v>42</v>
      </c>
      <c r="M5" s="46" t="s">
        <v>521</v>
      </c>
    </row>
    <row r="6" spans="1:16" ht="29.45" customHeight="1" thickBot="1" x14ac:dyDescent="0.35">
      <c r="H6" s="13" t="str">
        <f>$M$8</f>
        <v>Dimensions</v>
      </c>
      <c r="J6" s="13" t="str">
        <f>$M$9</f>
        <v>List of columns</v>
      </c>
      <c r="L6" s="9" t="s">
        <v>43</v>
      </c>
      <c r="M6" s="6" t="s">
        <v>522</v>
      </c>
    </row>
    <row r="7" spans="1:16" ht="21" thickTop="1" thickBot="1" x14ac:dyDescent="0.35">
      <c r="A7" s="13" t="str">
        <f>$L$5&amp;" : "&amp;$M$5</f>
        <v>df.describe() : Descriptive statistics</v>
      </c>
      <c r="B7" s="14"/>
      <c r="C7" s="14"/>
      <c r="D7" s="14"/>
      <c r="E7" s="14"/>
      <c r="F7" s="14"/>
      <c r="H7" s="13" t="str">
        <f>$L$8</f>
        <v>df.shape()</v>
      </c>
      <c r="J7" s="13" t="str">
        <f>$L$9</f>
        <v>df.columns()</v>
      </c>
      <c r="L7" s="9" t="s">
        <v>44</v>
      </c>
      <c r="M7" s="6" t="s">
        <v>523</v>
      </c>
    </row>
    <row r="8" spans="1:16" ht="17.25" thickTop="1" x14ac:dyDescent="0.25">
      <c r="A8" s="14" t="str" cm="1">
        <f t="array" ref="A8:F16">_xlfn._xlws.PY(18,0)</f>
        <v/>
      </c>
      <c r="B8" s="14" t="str">
        <v>id_order</v>
      </c>
      <c r="C8" s="14" t="str">
        <v>id_store</v>
      </c>
      <c r="D8" s="14" t="str">
        <v>m_nb_customer</v>
      </c>
      <c r="E8" s="14" t="str">
        <v>m_cached_payed</v>
      </c>
      <c r="F8" s="14" t="str">
        <v>m_cached_price</v>
      </c>
      <c r="H8" s="14" cm="1">
        <f t="array" ref="H8:H9">_xlfn._xlws.PY(19,0)</f>
        <v>190</v>
      </c>
      <c r="J8" s="22" t="str" cm="1">
        <f t="array" ref="J8:J14">_xlfn._xlws.PY(20,0)</f>
        <v>id_order</v>
      </c>
      <c r="L8" s="9" t="s">
        <v>566</v>
      </c>
      <c r="M8" s="6" t="s">
        <v>45</v>
      </c>
    </row>
    <row r="9" spans="1:16" ht="18.75" x14ac:dyDescent="0.3">
      <c r="A9" s="15" t="str">
        <v>count</v>
      </c>
      <c r="B9" s="14">
        <v>190</v>
      </c>
      <c r="C9" s="14">
        <v>190</v>
      </c>
      <c r="D9" s="14">
        <v>190</v>
      </c>
      <c r="E9" s="14">
        <v>190</v>
      </c>
      <c r="F9" s="14">
        <v>190</v>
      </c>
      <c r="H9" s="14">
        <v>7</v>
      </c>
      <c r="J9" s="22" t="str">
        <v>id_store</v>
      </c>
      <c r="L9" s="9" t="s">
        <v>567</v>
      </c>
      <c r="M9" s="46" t="s">
        <v>524</v>
      </c>
    </row>
    <row r="10" spans="1:16" ht="20.25" thickBot="1" x14ac:dyDescent="0.35">
      <c r="A10" s="15" t="str">
        <v>mean</v>
      </c>
      <c r="B10" s="16">
        <v>102262041.30526316</v>
      </c>
      <c r="C10" s="16">
        <v>7952.1631578947372</v>
      </c>
      <c r="D10" s="16">
        <v>3.4210526315789473</v>
      </c>
      <c r="E10" s="16">
        <v>119.8048947368421</v>
      </c>
      <c r="F10" s="16">
        <v>119.8048947368421</v>
      </c>
      <c r="H10" s="13"/>
      <c r="J10" s="22" t="str">
        <v>date_opened</v>
      </c>
      <c r="L10" s="6" t="s">
        <v>568</v>
      </c>
      <c r="M10" s="6" t="s">
        <v>47</v>
      </c>
    </row>
    <row r="11" spans="1:16" ht="19.5" thickTop="1" x14ac:dyDescent="0.3">
      <c r="A11" s="15" t="str">
        <v>std</v>
      </c>
      <c r="B11" s="16">
        <v>24399961.699189696</v>
      </c>
      <c r="C11" s="16">
        <v>1870.5699891609963</v>
      </c>
      <c r="D11" s="16">
        <v>1.0894292216391523</v>
      </c>
      <c r="E11" s="16">
        <v>138.49293301451311</v>
      </c>
      <c r="F11" s="16">
        <v>138.49293301451311</v>
      </c>
      <c r="J11" s="22" t="str">
        <v>date_closed</v>
      </c>
    </row>
    <row r="12" spans="1:16" ht="18.75" x14ac:dyDescent="0.3">
      <c r="A12" s="15" t="str">
        <v>min</v>
      </c>
      <c r="B12" s="14">
        <v>54326699</v>
      </c>
      <c r="C12" s="14">
        <v>1796</v>
      </c>
      <c r="D12" s="14">
        <v>1</v>
      </c>
      <c r="E12" s="14">
        <v>1</v>
      </c>
      <c r="F12" s="14">
        <v>1</v>
      </c>
      <c r="J12" s="22" t="str">
        <v>m_nb_customer</v>
      </c>
      <c r="L12" s="65" t="s">
        <v>517</v>
      </c>
      <c r="M12" s="65"/>
      <c r="N12" s="65"/>
      <c r="O12" s="65"/>
      <c r="P12" s="65"/>
    </row>
    <row r="13" spans="1:16" ht="18.75" x14ac:dyDescent="0.3">
      <c r="A13" s="15" t="str">
        <v>25%</v>
      </c>
      <c r="B13" s="14">
        <v>96398357.25</v>
      </c>
      <c r="C13" s="14">
        <v>8283</v>
      </c>
      <c r="D13" s="14">
        <v>2</v>
      </c>
      <c r="E13" s="14">
        <v>40</v>
      </c>
      <c r="F13" s="14">
        <v>40</v>
      </c>
      <c r="J13" s="22" t="str">
        <v>m_cached_payed</v>
      </c>
      <c r="L13" s="9" t="s">
        <v>48</v>
      </c>
      <c r="M13" s="46" t="s">
        <v>525</v>
      </c>
      <c r="P13" s="6" t="s">
        <v>91</v>
      </c>
    </row>
    <row r="14" spans="1:16" ht="18.75" x14ac:dyDescent="0.3">
      <c r="A14" s="15" t="str">
        <v>50%</v>
      </c>
      <c r="B14" s="14">
        <v>107438356.5</v>
      </c>
      <c r="C14" s="14">
        <v>8283</v>
      </c>
      <c r="D14" s="14">
        <v>4</v>
      </c>
      <c r="E14" s="14">
        <v>69.5</v>
      </c>
      <c r="F14" s="14">
        <v>69.5</v>
      </c>
      <c r="J14" s="22" t="str">
        <v>m_cached_price</v>
      </c>
      <c r="L14" s="6" t="s">
        <v>49</v>
      </c>
      <c r="M14" s="46" t="s">
        <v>526</v>
      </c>
    </row>
    <row r="15" spans="1:16" ht="18.75" x14ac:dyDescent="0.3">
      <c r="A15" s="15" t="str">
        <v>75%</v>
      </c>
      <c r="B15" s="14">
        <v>121297511</v>
      </c>
      <c r="C15" s="14">
        <v>9084</v>
      </c>
      <c r="D15" s="14">
        <v>4</v>
      </c>
      <c r="E15" s="14">
        <v>140</v>
      </c>
      <c r="F15" s="14">
        <v>140</v>
      </c>
      <c r="J15" s="22"/>
      <c r="L15" s="9" t="s">
        <v>50</v>
      </c>
      <c r="M15" s="46" t="s">
        <v>527</v>
      </c>
      <c r="P15" s="6" t="s">
        <v>92</v>
      </c>
    </row>
    <row r="16" spans="1:16" ht="18.75" x14ac:dyDescent="0.3">
      <c r="A16" s="15" t="str">
        <v>max</v>
      </c>
      <c r="B16" s="14">
        <v>135046575</v>
      </c>
      <c r="C16" s="14">
        <v>9084</v>
      </c>
      <c r="D16" s="14">
        <v>7</v>
      </c>
      <c r="E16" s="14">
        <v>908</v>
      </c>
      <c r="F16" s="14">
        <v>908</v>
      </c>
      <c r="L16" s="9" t="s">
        <v>51</v>
      </c>
      <c r="M16" s="46" t="s">
        <v>528</v>
      </c>
      <c r="P16" s="6" t="s">
        <v>93</v>
      </c>
    </row>
    <row r="17" spans="1:16" ht="17.25" x14ac:dyDescent="0.3">
      <c r="L17" s="9" t="s">
        <v>52</v>
      </c>
      <c r="M17" s="46" t="s">
        <v>529</v>
      </c>
      <c r="P17" s="6" t="s">
        <v>94</v>
      </c>
    </row>
    <row r="18" spans="1:16" ht="20.25" thickBot="1" x14ac:dyDescent="0.35">
      <c r="A18" s="13" t="s">
        <v>554</v>
      </c>
      <c r="B18" s="14"/>
      <c r="C18" s="14"/>
      <c r="D18" s="14"/>
      <c r="E18" s="14"/>
      <c r="F18" s="14"/>
      <c r="G18" s="14"/>
      <c r="H18" s="14"/>
      <c r="I18" s="14"/>
      <c r="L18" s="6" t="s">
        <v>53</v>
      </c>
      <c r="M18" s="46" t="s">
        <v>530</v>
      </c>
      <c r="P18" t="s">
        <v>531</v>
      </c>
    </row>
    <row r="19" spans="1:16" ht="17.25" thickTop="1" x14ac:dyDescent="0.25">
      <c r="A19" s="14" t="str" cm="1">
        <f t="array" ref="A19:H21">_xlfn._xlws.PY(21,0)</f>
        <v/>
      </c>
      <c r="B19" s="14" t="str">
        <v>id_order</v>
      </c>
      <c r="C19" s="14" t="str">
        <v>id_store</v>
      </c>
      <c r="D19" s="14" t="str">
        <v>date_opened</v>
      </c>
      <c r="E19" s="14" t="str">
        <v>date_closed</v>
      </c>
      <c r="F19" s="14" t="str">
        <v>m_nb_customer</v>
      </c>
      <c r="G19" s="14" t="str">
        <v>m_cached_payed</v>
      </c>
      <c r="H19" s="14" t="str">
        <v>m_cached_price</v>
      </c>
      <c r="I19" s="14"/>
    </row>
    <row r="20" spans="1:16" ht="18.75" x14ac:dyDescent="0.3">
      <c r="A20" s="14">
        <v>1</v>
      </c>
      <c r="B20" s="14">
        <v>56035309</v>
      </c>
      <c r="C20" s="14">
        <v>8052</v>
      </c>
      <c r="D20" s="14" t="str">
        <v>2019-01-16 19:39:09 UTC</v>
      </c>
      <c r="E20" s="14" t="str">
        <v>2019-01-16 22:10:50 UTC</v>
      </c>
      <c r="F20" s="14">
        <v>2</v>
      </c>
      <c r="G20" s="14">
        <v>49.8</v>
      </c>
      <c r="H20" s="14">
        <v>49.8</v>
      </c>
      <c r="I20" s="14"/>
      <c r="L20" s="65" t="s">
        <v>518</v>
      </c>
      <c r="M20" s="65"/>
      <c r="N20" s="65"/>
      <c r="O20" s="65"/>
      <c r="P20" s="65"/>
    </row>
    <row r="21" spans="1:16" ht="17.25" x14ac:dyDescent="0.3">
      <c r="A21" s="14">
        <v>6</v>
      </c>
      <c r="B21" s="14">
        <v>56030563</v>
      </c>
      <c r="C21" s="14">
        <v>8320</v>
      </c>
      <c r="D21" s="14" t="str">
        <v>2019-01-16 19:04:08 UTC</v>
      </c>
      <c r="E21" s="14" t="str">
        <v>2019-01-16 22:13:55 UTC</v>
      </c>
      <c r="F21" s="14">
        <v>7</v>
      </c>
      <c r="G21" s="14">
        <v>220.7</v>
      </c>
      <c r="H21" s="14">
        <v>220.7</v>
      </c>
      <c r="I21" s="14"/>
      <c r="L21" s="9" t="s">
        <v>54</v>
      </c>
      <c r="M21" s="46" t="s">
        <v>532</v>
      </c>
    </row>
    <row r="22" spans="1:16" ht="17.25" x14ac:dyDescent="0.3">
      <c r="L22" s="9" t="s">
        <v>55</v>
      </c>
      <c r="M22" s="46" t="s">
        <v>533</v>
      </c>
    </row>
    <row r="23" spans="1:16" ht="20.25" thickBot="1" x14ac:dyDescent="0.35">
      <c r="A23" s="13" t="str">
        <f>$L$34</f>
        <v>df.mean()</v>
      </c>
      <c r="C23" s="13" t="str">
        <f>$L$35</f>
        <v>df.sum()</v>
      </c>
      <c r="E23" s="13" t="str">
        <f>$L$36</f>
        <v>df.count()</v>
      </c>
      <c r="L23" s="9" t="s">
        <v>56</v>
      </c>
      <c r="M23" s="46" t="s">
        <v>534</v>
      </c>
    </row>
    <row r="24" spans="1:16" ht="18" thickTop="1" x14ac:dyDescent="0.3">
      <c r="A24" s="14" cm="1" vm="24">
        <f t="array" ref="A24">_xlfn._xlws.PY(22,1)</f>
        <v>119.8048947368421</v>
      </c>
      <c r="C24" s="14" cm="1" vm="25">
        <f t="array" ref="C24">_xlfn._xlws.PY(23,1)</f>
        <v>22762.93</v>
      </c>
      <c r="E24" s="14" cm="1" vm="26">
        <f t="array" ref="E24">_xlfn._xlws.PY(24,1)</f>
        <v>190</v>
      </c>
      <c r="L24" s="9" t="s">
        <v>57</v>
      </c>
      <c r="M24" s="46" t="s">
        <v>535</v>
      </c>
    </row>
    <row r="25" spans="1:16" ht="17.25" x14ac:dyDescent="0.3">
      <c r="L25" s="6" t="s">
        <v>58</v>
      </c>
      <c r="M25" s="46" t="s">
        <v>536</v>
      </c>
    </row>
    <row r="26" spans="1:16" ht="20.25" thickBot="1" x14ac:dyDescent="0.35">
      <c r="A26" s="13" t="str">
        <f>$L$32</f>
        <v>df.groupby()</v>
      </c>
      <c r="B26" s="14"/>
      <c r="E26" s="13" t="s">
        <v>555</v>
      </c>
      <c r="F26" s="14"/>
      <c r="G26" s="14"/>
      <c r="I26" s="13" t="s">
        <v>46</v>
      </c>
      <c r="L26" s="9" t="s">
        <v>59</v>
      </c>
      <c r="M26" s="46" t="s">
        <v>537</v>
      </c>
    </row>
    <row r="27" spans="1:16" ht="18" thickTop="1" x14ac:dyDescent="0.3">
      <c r="A27" s="14" t="str" cm="1">
        <f t="array" ref="A27:B33">_xlfn._xlws.PY(25,0)</f>
        <v>m_nb_customer</v>
      </c>
      <c r="B27" s="14" t="str">
        <v>m_cached_payed</v>
      </c>
      <c r="E27" s="14" t="str" cm="1">
        <f t="array" ref="E27:G41">_xlfn._xlws.PY(26,0)</f>
        <v>Year</v>
      </c>
      <c r="F27" s="14" t="str">
        <v>Month</v>
      </c>
      <c r="G27" s="14" t="str">
        <v>m_cached_price</v>
      </c>
      <c r="I27" s="22" t="str" cm="1">
        <f t="array" ref="I27:I36">_xlfn._xlws.PY(27,0)</f>
        <v>id_order</v>
      </c>
      <c r="L27" s="6" t="s">
        <v>60</v>
      </c>
      <c r="M27" s="46" t="s">
        <v>538</v>
      </c>
    </row>
    <row r="28" spans="1:16" x14ac:dyDescent="0.25">
      <c r="A28" s="14">
        <v>1</v>
      </c>
      <c r="B28" s="17">
        <v>46.68888888888889</v>
      </c>
      <c r="E28" s="14">
        <v>2019</v>
      </c>
      <c r="F28" s="14">
        <v>1</v>
      </c>
      <c r="G28" s="14">
        <v>1732.3</v>
      </c>
      <c r="I28" t="str">
        <v>id_store</v>
      </c>
      <c r="L28" s="6" t="s">
        <v>61</v>
      </c>
      <c r="M28" s="6" t="s">
        <v>539</v>
      </c>
    </row>
    <row r="29" spans="1:16" x14ac:dyDescent="0.25">
      <c r="A29" s="14">
        <v>2</v>
      </c>
      <c r="B29" s="17">
        <v>44.121219512195125</v>
      </c>
      <c r="E29" s="14">
        <v>2019</v>
      </c>
      <c r="F29" s="14">
        <v>2</v>
      </c>
      <c r="G29" s="14">
        <v>978.87</v>
      </c>
      <c r="I29" t="str">
        <v>date_opened</v>
      </c>
      <c r="L29" s="9" t="s">
        <v>62</v>
      </c>
      <c r="M29" s="6" t="s">
        <v>540</v>
      </c>
    </row>
    <row r="30" spans="1:16" x14ac:dyDescent="0.25">
      <c r="A30" s="14">
        <v>3</v>
      </c>
      <c r="B30" s="17">
        <v>51.891666666666673</v>
      </c>
      <c r="E30" s="14">
        <v>2019</v>
      </c>
      <c r="F30" s="14">
        <v>6</v>
      </c>
      <c r="G30" s="14">
        <v>9.5</v>
      </c>
      <c r="I30" t="str">
        <v>date_closed</v>
      </c>
    </row>
    <row r="31" spans="1:16" ht="18.75" x14ac:dyDescent="0.3">
      <c r="A31" s="14">
        <v>4</v>
      </c>
      <c r="B31" s="17">
        <v>156.49967741935484</v>
      </c>
      <c r="E31" s="14">
        <v>2019</v>
      </c>
      <c r="F31" s="14">
        <v>9</v>
      </c>
      <c r="G31" s="14">
        <v>476</v>
      </c>
      <c r="I31" t="str">
        <v>m_nb_customer</v>
      </c>
      <c r="L31" s="65" t="s">
        <v>541</v>
      </c>
      <c r="M31" s="65"/>
      <c r="N31" s="65"/>
      <c r="O31" s="65"/>
      <c r="P31" s="65"/>
    </row>
    <row r="32" spans="1:16" ht="17.25" x14ac:dyDescent="0.3">
      <c r="A32" s="14">
        <v>6</v>
      </c>
      <c r="B32" s="17">
        <v>99.3</v>
      </c>
      <c r="E32" s="14">
        <v>2019</v>
      </c>
      <c r="F32" s="14">
        <v>10</v>
      </c>
      <c r="G32" s="14">
        <v>1426.32</v>
      </c>
      <c r="I32" t="str">
        <v>m_cached_payed</v>
      </c>
      <c r="L32" s="9" t="s">
        <v>63</v>
      </c>
      <c r="M32" s="46" t="s">
        <v>542</v>
      </c>
      <c r="P32" s="6" t="s">
        <v>89</v>
      </c>
    </row>
    <row r="33" spans="1:16" ht="17.25" x14ac:dyDescent="0.3">
      <c r="A33" s="14">
        <v>7</v>
      </c>
      <c r="B33" s="17">
        <v>135.26666666666665</v>
      </c>
      <c r="E33" s="14">
        <v>2019</v>
      </c>
      <c r="F33" s="14">
        <v>11</v>
      </c>
      <c r="G33" s="14">
        <v>2671.8</v>
      </c>
      <c r="I33" t="str">
        <v>m_cached_price</v>
      </c>
      <c r="L33" s="9" t="s">
        <v>64</v>
      </c>
      <c r="M33" s="46" t="s">
        <v>543</v>
      </c>
      <c r="P33" s="6" t="s">
        <v>90</v>
      </c>
    </row>
    <row r="34" spans="1:16" x14ac:dyDescent="0.25">
      <c r="A34" s="14"/>
      <c r="B34" s="14"/>
      <c r="E34" s="14">
        <v>2019</v>
      </c>
      <c r="F34" s="14">
        <v>12</v>
      </c>
      <c r="G34" s="14">
        <v>1203.9000000000001</v>
      </c>
      <c r="I34" t="str">
        <v>Date</v>
      </c>
      <c r="L34" s="6" t="s">
        <v>65</v>
      </c>
      <c r="M34" s="6" t="s">
        <v>495</v>
      </c>
    </row>
    <row r="35" spans="1:16" x14ac:dyDescent="0.25">
      <c r="E35" s="14">
        <v>2020</v>
      </c>
      <c r="F35" s="14">
        <v>1</v>
      </c>
      <c r="G35" s="14">
        <v>1985.6399999999999</v>
      </c>
      <c r="I35" t="str">
        <v>Year</v>
      </c>
      <c r="L35" s="6" t="s">
        <v>66</v>
      </c>
      <c r="M35" s="6" t="s">
        <v>544</v>
      </c>
    </row>
    <row r="36" spans="1:16" x14ac:dyDescent="0.25">
      <c r="E36" s="14">
        <v>2020</v>
      </c>
      <c r="F36" s="14">
        <v>2</v>
      </c>
      <c r="G36" s="14">
        <v>2788.64</v>
      </c>
      <c r="I36" t="str">
        <v>Month</v>
      </c>
      <c r="L36" s="6" t="s">
        <v>67</v>
      </c>
      <c r="M36" s="6" t="s">
        <v>545</v>
      </c>
    </row>
    <row r="37" spans="1:16" x14ac:dyDescent="0.25">
      <c r="E37" s="14">
        <v>2020</v>
      </c>
      <c r="F37" s="14">
        <v>3</v>
      </c>
      <c r="G37" s="14">
        <v>3830</v>
      </c>
      <c r="J37" s="10"/>
    </row>
    <row r="38" spans="1:16" ht="18.75" x14ac:dyDescent="0.3">
      <c r="E38" s="14">
        <v>2020</v>
      </c>
      <c r="F38" s="14">
        <v>4</v>
      </c>
      <c r="G38" s="14">
        <v>2537.6</v>
      </c>
      <c r="J38" s="10"/>
      <c r="L38" s="65" t="s">
        <v>546</v>
      </c>
      <c r="M38" s="65"/>
      <c r="N38" s="65"/>
      <c r="O38" s="65"/>
      <c r="P38" s="65"/>
    </row>
    <row r="39" spans="1:16" x14ac:dyDescent="0.25">
      <c r="E39" s="14">
        <v>2020</v>
      </c>
      <c r="F39" s="14">
        <v>5</v>
      </c>
      <c r="G39" s="14">
        <v>919.2</v>
      </c>
      <c r="J39" s="10"/>
      <c r="L39" s="9" t="s">
        <v>68</v>
      </c>
      <c r="M39" s="6" t="s">
        <v>547</v>
      </c>
      <c r="P39" s="6" t="s">
        <v>86</v>
      </c>
    </row>
    <row r="40" spans="1:16" x14ac:dyDescent="0.25">
      <c r="E40" s="14">
        <v>2020</v>
      </c>
      <c r="F40" s="14">
        <v>6</v>
      </c>
      <c r="G40" s="14">
        <v>175.6</v>
      </c>
      <c r="J40" s="10"/>
      <c r="L40" s="9" t="s">
        <v>69</v>
      </c>
      <c r="M40" s="6" t="s">
        <v>548</v>
      </c>
      <c r="P40" s="6" t="s">
        <v>87</v>
      </c>
    </row>
    <row r="41" spans="1:16" x14ac:dyDescent="0.25">
      <c r="E41" s="14">
        <v>2020</v>
      </c>
      <c r="F41" s="14">
        <v>7</v>
      </c>
      <c r="G41" s="14">
        <v>2027.56</v>
      </c>
      <c r="J41" s="10"/>
      <c r="L41" s="9" t="s">
        <v>70</v>
      </c>
      <c r="M41" s="6" t="s">
        <v>549</v>
      </c>
      <c r="P41" s="6" t="s">
        <v>88</v>
      </c>
    </row>
    <row r="42" spans="1:16" x14ac:dyDescent="0.25">
      <c r="J42" s="10"/>
    </row>
    <row r="43" spans="1:16" ht="18.75" x14ac:dyDescent="0.3">
      <c r="L43" s="65" t="s">
        <v>546</v>
      </c>
      <c r="M43" s="65"/>
      <c r="N43" s="65"/>
      <c r="O43" s="65"/>
      <c r="P43" s="65"/>
    </row>
    <row r="44" spans="1:16" x14ac:dyDescent="0.25">
      <c r="L44" s="6" t="s">
        <v>71</v>
      </c>
      <c r="M44" s="6" t="s">
        <v>550</v>
      </c>
    </row>
    <row r="45" spans="1:16" ht="20.25" thickBot="1" x14ac:dyDescent="0.35">
      <c r="A45" s="13" t="s">
        <v>556</v>
      </c>
      <c r="B45" s="14"/>
      <c r="C45" s="14"/>
      <c r="F45" s="13" t="s">
        <v>121</v>
      </c>
      <c r="G45" s="14"/>
      <c r="L45" s="6" t="s">
        <v>72</v>
      </c>
      <c r="M45" s="6" t="s">
        <v>73</v>
      </c>
    </row>
    <row r="46" spans="1:16" ht="17.25" thickTop="1" x14ac:dyDescent="0.25">
      <c r="A46" s="14" t="str" cm="1">
        <f t="array" ref="A46:C56">_xlfn._xlws.PY(28,0)</f>
        <v>date_opened</v>
      </c>
      <c r="B46" s="14" t="str">
        <v>id_store</v>
      </c>
      <c r="C46" s="14" t="str">
        <v>m_cached_payed</v>
      </c>
      <c r="F46" s="14" cm="1">
        <f t="array" ref="F46:F52">_xlfn._xlws.PY(29,0)</f>
        <v>8052</v>
      </c>
      <c r="G46" s="14"/>
      <c r="L46" s="6" t="s">
        <v>74</v>
      </c>
      <c r="M46" s="6" t="s">
        <v>551</v>
      </c>
    </row>
    <row r="47" spans="1:16" x14ac:dyDescent="0.25">
      <c r="A47" s="14" t="str">
        <v>2020-04-08 08:36:26 UTC</v>
      </c>
      <c r="B47" s="14">
        <v>9084</v>
      </c>
      <c r="C47" s="14">
        <v>908</v>
      </c>
      <c r="F47" s="14">
        <v>8104</v>
      </c>
      <c r="G47" s="14"/>
      <c r="L47" s="6" t="s">
        <v>75</v>
      </c>
      <c r="M47" s="6" t="s">
        <v>552</v>
      </c>
    </row>
    <row r="48" spans="1:16" x14ac:dyDescent="0.25">
      <c r="A48" s="14" t="str">
        <v>2020-07-21 11:16:10 UTC</v>
      </c>
      <c r="B48" s="14">
        <v>8283</v>
      </c>
      <c r="C48" s="14">
        <v>856.8</v>
      </c>
      <c r="F48" s="14">
        <v>8320</v>
      </c>
      <c r="G48" s="14"/>
    </row>
    <row r="49" spans="1:16" ht="18.75" x14ac:dyDescent="0.3">
      <c r="A49" s="14" t="str">
        <v>2020-03-09 17:33:21 UTC</v>
      </c>
      <c r="B49" s="14">
        <v>8283</v>
      </c>
      <c r="C49" s="14">
        <v>604.79999999999995</v>
      </c>
      <c r="F49" s="14">
        <v>9084</v>
      </c>
      <c r="G49" s="14"/>
      <c r="L49" s="65" t="s">
        <v>83</v>
      </c>
      <c r="M49" s="65"/>
      <c r="N49" s="65"/>
      <c r="O49" s="65"/>
      <c r="P49" s="65"/>
    </row>
    <row r="50" spans="1:16" x14ac:dyDescent="0.25">
      <c r="A50" s="14" t="str">
        <v>2020-02-13 12:00:30 UTC</v>
      </c>
      <c r="B50" s="14">
        <v>8283</v>
      </c>
      <c r="C50" s="14">
        <v>571.20000000000005</v>
      </c>
      <c r="F50" s="14">
        <v>8283</v>
      </c>
      <c r="G50" s="14"/>
      <c r="L50" s="6" t="s">
        <v>76</v>
      </c>
      <c r="M50" s="6" t="s">
        <v>553</v>
      </c>
    </row>
    <row r="51" spans="1:16" x14ac:dyDescent="0.25">
      <c r="A51" s="14" t="str">
        <v>2020-05-22 13:29:03 UTC</v>
      </c>
      <c r="B51" s="14">
        <v>8283</v>
      </c>
      <c r="C51" s="14">
        <v>547.6</v>
      </c>
      <c r="F51" s="14">
        <v>1796</v>
      </c>
      <c r="G51" s="14"/>
      <c r="L51" s="6" t="s">
        <v>77</v>
      </c>
      <c r="M51" s="6" t="s">
        <v>78</v>
      </c>
    </row>
    <row r="52" spans="1:16" x14ac:dyDescent="0.25">
      <c r="A52" s="14" t="str">
        <v>2020-04-01 13:29:26 UTC</v>
      </c>
      <c r="B52" s="14">
        <v>9084</v>
      </c>
      <c r="C52" s="14">
        <v>516</v>
      </c>
      <c r="F52" s="14">
        <v>4337</v>
      </c>
      <c r="G52" s="14"/>
      <c r="L52" s="6" t="s">
        <v>79</v>
      </c>
      <c r="M52" s="6" t="s">
        <v>80</v>
      </c>
    </row>
    <row r="53" spans="1:16" x14ac:dyDescent="0.25">
      <c r="A53" s="14" t="str">
        <v>2019-01-18 19:06:17 UTC</v>
      </c>
      <c r="B53" s="14">
        <v>8052</v>
      </c>
      <c r="C53" s="14">
        <v>444</v>
      </c>
      <c r="L53" s="6" t="s">
        <v>81</v>
      </c>
      <c r="M53" s="6" t="s">
        <v>82</v>
      </c>
    </row>
    <row r="54" spans="1:16" x14ac:dyDescent="0.25">
      <c r="A54" s="14" t="str">
        <v>2020-01-31 10:46:35 UTC</v>
      </c>
      <c r="B54" s="14">
        <v>8283</v>
      </c>
      <c r="C54" s="14">
        <v>415.84</v>
      </c>
    </row>
    <row r="55" spans="1:16" x14ac:dyDescent="0.25">
      <c r="A55" s="14" t="str">
        <v>2019-10-25 15:40:19 UTC</v>
      </c>
      <c r="B55" s="14">
        <v>8283</v>
      </c>
      <c r="C55" s="14">
        <v>414.4</v>
      </c>
    </row>
    <row r="56" spans="1:16" x14ac:dyDescent="0.25">
      <c r="A56" s="14" t="str">
        <v>2020-02-07 12:28:02 UTC</v>
      </c>
      <c r="B56" s="14">
        <v>8283</v>
      </c>
      <c r="C56" s="14">
        <v>400</v>
      </c>
    </row>
    <row r="69" spans="6:11" ht="20.25" thickBot="1" x14ac:dyDescent="0.35">
      <c r="F69" s="13" t="s">
        <v>557</v>
      </c>
      <c r="G69" s="13"/>
      <c r="H69" s="13"/>
      <c r="I69" s="13"/>
      <c r="J69" s="13"/>
      <c r="K69" s="13"/>
    </row>
    <row r="70" spans="6:11" ht="17.25" thickTop="1" x14ac:dyDescent="0.25">
      <c r="F70" s="14" t="str" cm="1">
        <f t="array" ref="F70:K85">_xlfn._xlws.PY(30,0)</f>
        <v/>
      </c>
      <c r="G70" s="14" t="str">
        <v/>
      </c>
      <c r="H70" s="14" t="str">
        <v>Total Paid</v>
      </c>
      <c r="I70" s="14" t="str">
        <v>Total Price</v>
      </c>
      <c r="J70" s="14" t="str">
        <v>AVG Clients</v>
      </c>
      <c r="K70" s="14" t="str">
        <v>Nb Sales</v>
      </c>
    </row>
    <row r="71" spans="6:11" x14ac:dyDescent="0.25">
      <c r="F71" s="14" t="str">
        <v>Year</v>
      </c>
      <c r="G71" s="14" t="str">
        <v>Month</v>
      </c>
      <c r="H71" s="14" t="str">
        <v/>
      </c>
      <c r="I71" s="14" t="str">
        <v/>
      </c>
      <c r="J71" s="14" t="str">
        <v/>
      </c>
      <c r="K71" s="14" t="str">
        <v/>
      </c>
    </row>
    <row r="72" spans="6:11" x14ac:dyDescent="0.25">
      <c r="F72" s="14">
        <v>2019</v>
      </c>
      <c r="G72" s="14">
        <v>1</v>
      </c>
      <c r="H72" s="14">
        <v>1732</v>
      </c>
      <c r="I72" s="14">
        <v>1732</v>
      </c>
      <c r="J72" s="14">
        <v>3</v>
      </c>
      <c r="K72" s="14">
        <v>20</v>
      </c>
    </row>
    <row r="73" spans="6:11" x14ac:dyDescent="0.25">
      <c r="F73" s="14">
        <v>2019</v>
      </c>
      <c r="G73" s="14">
        <v>2</v>
      </c>
      <c r="H73" s="14">
        <v>979</v>
      </c>
      <c r="I73" s="14">
        <v>979</v>
      </c>
      <c r="J73" s="14">
        <v>4</v>
      </c>
      <c r="K73" s="14">
        <v>14</v>
      </c>
    </row>
    <row r="74" spans="6:11" x14ac:dyDescent="0.25">
      <c r="F74" s="14">
        <v>2019</v>
      </c>
      <c r="G74" s="14">
        <v>6</v>
      </c>
      <c r="H74" s="14">
        <v>10</v>
      </c>
      <c r="I74" s="14">
        <v>10</v>
      </c>
      <c r="J74" s="14">
        <v>1</v>
      </c>
      <c r="K74" s="14">
        <v>2</v>
      </c>
    </row>
    <row r="75" spans="6:11" x14ac:dyDescent="0.25">
      <c r="F75" s="14">
        <v>2019</v>
      </c>
      <c r="G75" s="14">
        <v>9</v>
      </c>
      <c r="H75" s="14">
        <v>476</v>
      </c>
      <c r="I75" s="14">
        <v>476</v>
      </c>
      <c r="J75" s="14">
        <v>4</v>
      </c>
      <c r="K75" s="14">
        <v>11</v>
      </c>
    </row>
    <row r="76" spans="6:11" x14ac:dyDescent="0.25">
      <c r="F76" s="14">
        <v>2019</v>
      </c>
      <c r="G76" s="14">
        <v>10</v>
      </c>
      <c r="H76" s="14">
        <v>1426</v>
      </c>
      <c r="I76" s="14">
        <v>1426</v>
      </c>
      <c r="J76" s="14">
        <v>3</v>
      </c>
      <c r="K76" s="14">
        <v>16</v>
      </c>
    </row>
    <row r="77" spans="6:11" x14ac:dyDescent="0.25">
      <c r="F77" s="14">
        <v>2019</v>
      </c>
      <c r="G77" s="14">
        <v>11</v>
      </c>
      <c r="H77" s="14">
        <v>2672</v>
      </c>
      <c r="I77" s="14">
        <v>2672</v>
      </c>
      <c r="J77" s="14">
        <v>4</v>
      </c>
      <c r="K77" s="14">
        <v>25</v>
      </c>
    </row>
    <row r="78" spans="6:11" x14ac:dyDescent="0.25">
      <c r="F78" s="14">
        <v>2019</v>
      </c>
      <c r="G78" s="14">
        <v>12</v>
      </c>
      <c r="H78" s="14">
        <v>1204</v>
      </c>
      <c r="I78" s="14">
        <v>1204</v>
      </c>
      <c r="J78" s="14">
        <v>3</v>
      </c>
      <c r="K78" s="14">
        <v>16</v>
      </c>
    </row>
    <row r="79" spans="6:11" x14ac:dyDescent="0.25">
      <c r="F79" s="14">
        <v>2020</v>
      </c>
      <c r="G79" s="14">
        <v>1</v>
      </c>
      <c r="H79" s="14">
        <v>1986</v>
      </c>
      <c r="I79" s="14">
        <v>1986</v>
      </c>
      <c r="J79" s="14">
        <v>3</v>
      </c>
      <c r="K79" s="14">
        <v>15</v>
      </c>
    </row>
    <row r="80" spans="6:11" x14ac:dyDescent="0.25">
      <c r="F80" s="14">
        <v>2020</v>
      </c>
      <c r="G80" s="14">
        <v>2</v>
      </c>
      <c r="H80" s="14">
        <v>2789</v>
      </c>
      <c r="I80" s="14">
        <v>2789</v>
      </c>
      <c r="J80" s="14">
        <v>3</v>
      </c>
      <c r="K80" s="14">
        <v>23</v>
      </c>
    </row>
    <row r="81" spans="6:11" x14ac:dyDescent="0.25">
      <c r="F81" s="14">
        <v>2020</v>
      </c>
      <c r="G81" s="14">
        <v>3</v>
      </c>
      <c r="H81" s="14">
        <v>3830</v>
      </c>
      <c r="I81" s="14">
        <v>3830</v>
      </c>
      <c r="J81" s="14">
        <v>3</v>
      </c>
      <c r="K81" s="14">
        <v>24</v>
      </c>
    </row>
    <row r="82" spans="6:11" x14ac:dyDescent="0.25">
      <c r="F82" s="14">
        <v>2020</v>
      </c>
      <c r="G82" s="14">
        <v>4</v>
      </c>
      <c r="H82" s="14">
        <v>2538</v>
      </c>
      <c r="I82" s="14">
        <v>2538</v>
      </c>
      <c r="J82" s="14">
        <v>4</v>
      </c>
      <c r="K82" s="14">
        <v>6</v>
      </c>
    </row>
    <row r="83" spans="6:11" x14ac:dyDescent="0.25">
      <c r="F83" s="14">
        <v>2020</v>
      </c>
      <c r="G83" s="14">
        <v>5</v>
      </c>
      <c r="H83" s="14">
        <v>919</v>
      </c>
      <c r="I83" s="14">
        <v>919</v>
      </c>
      <c r="J83" s="14">
        <v>4</v>
      </c>
      <c r="K83" s="14">
        <v>5</v>
      </c>
    </row>
    <row r="84" spans="6:11" x14ac:dyDescent="0.25">
      <c r="F84" s="14">
        <v>2020</v>
      </c>
      <c r="G84" s="14">
        <v>6</v>
      </c>
      <c r="H84" s="14">
        <v>176</v>
      </c>
      <c r="I84" s="14">
        <v>176</v>
      </c>
      <c r="J84" s="14">
        <v>4</v>
      </c>
      <c r="K84" s="14">
        <v>3</v>
      </c>
    </row>
    <row r="85" spans="6:11" x14ac:dyDescent="0.25">
      <c r="F85" s="14">
        <v>2020</v>
      </c>
      <c r="G85" s="14">
        <v>7</v>
      </c>
      <c r="H85" s="14">
        <v>2028</v>
      </c>
      <c r="I85" s="14">
        <v>2028</v>
      </c>
      <c r="J85" s="14">
        <v>4</v>
      </c>
      <c r="K85" s="14">
        <v>10</v>
      </c>
    </row>
  </sheetData>
  <mergeCells count="7">
    <mergeCell ref="L43:P43"/>
    <mergeCell ref="L49:P49"/>
    <mergeCell ref="L2:P2"/>
    <mergeCell ref="L12:P12"/>
    <mergeCell ref="L20:P20"/>
    <mergeCell ref="L31:P31"/>
    <mergeCell ref="L38:P38"/>
  </mergeCells>
  <hyperlinks>
    <hyperlink ref="B2" r:id="rId1" xr:uid="{816CECB7-F4A0-42A1-BA80-54C634B93AB8}"/>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306B-C69D-494C-B0A3-10FCE3C3220F}">
  <dimension ref="A2:S194"/>
  <sheetViews>
    <sheetView topLeftCell="A18" workbookViewId="0">
      <selection activeCell="E22" sqref="E22"/>
    </sheetView>
  </sheetViews>
  <sheetFormatPr defaultColWidth="11.5703125" defaultRowHeight="15" x14ac:dyDescent="0.25"/>
  <sheetData>
    <row r="2" spans="1:19" ht="15.75" thickBot="1" x14ac:dyDescent="0.3"/>
    <row r="3" spans="1:19" ht="18" thickBot="1" x14ac:dyDescent="0.35">
      <c r="P3" s="38" t="s">
        <v>570</v>
      </c>
      <c r="Q3" s="39"/>
      <c r="R3" s="39"/>
      <c r="S3" s="40"/>
    </row>
    <row r="4" spans="1:19" ht="18.75" thickTop="1" thickBot="1" x14ac:dyDescent="0.35">
      <c r="A4" s="31" t="s">
        <v>488</v>
      </c>
      <c r="B4" s="31" t="s">
        <v>489</v>
      </c>
      <c r="C4" s="31" t="s">
        <v>490</v>
      </c>
      <c r="D4" s="31" t="s">
        <v>491</v>
      </c>
      <c r="I4" s="37" t="s">
        <v>569</v>
      </c>
      <c r="J4" s="37"/>
      <c r="K4" s="37"/>
      <c r="L4" s="37"/>
      <c r="M4" s="37"/>
      <c r="N4" s="37"/>
      <c r="P4" s="32" t="str" cm="1">
        <f t="array" ref="P4:S194">_xlfn._xlws.PY(31,0,tbl_service[#All])</f>
        <v>m_nb_customer</v>
      </c>
      <c r="Q4" t="str">
        <v>m_cached_payed</v>
      </c>
      <c r="R4" t="str">
        <v>id_store</v>
      </c>
      <c r="S4" s="33" t="str">
        <v>id_order</v>
      </c>
    </row>
    <row r="5" spans="1:19" ht="15.75" thickTop="1" x14ac:dyDescent="0.25">
      <c r="A5" s="31">
        <v>55538867</v>
      </c>
      <c r="B5" s="31">
        <v>8052</v>
      </c>
      <c r="C5" s="31">
        <v>4</v>
      </c>
      <c r="D5" s="31">
        <v>182</v>
      </c>
      <c r="E5" t="str" cm="1" vm="27">
        <f t="array" ref="E5">_xlfn._xlws.PY(32,1,A4:D18)</f>
        <v>Creating the dfsmall dataframe</v>
      </c>
      <c r="I5" s="32" t="str" cm="1">
        <f t="array" ref="I5:M17">_xlfn._xlws.PY(33,0)</f>
        <v>Order ID</v>
      </c>
      <c r="J5" t="str">
        <v>Store</v>
      </c>
      <c r="K5" t="str">
        <v>NB_cust</v>
      </c>
      <c r="L5" t="str">
        <v>Amount</v>
      </c>
      <c r="M5" t="str">
        <v>AVG</v>
      </c>
      <c r="N5" s="33"/>
      <c r="P5" s="32">
        <v>1</v>
      </c>
      <c r="Q5">
        <v>251</v>
      </c>
      <c r="R5">
        <v>9084</v>
      </c>
      <c r="S5" s="33">
        <v>113812871</v>
      </c>
    </row>
    <row r="6" spans="1:19" x14ac:dyDescent="0.25">
      <c r="A6" s="31">
        <v>56035309</v>
      </c>
      <c r="B6" s="31">
        <v>8052</v>
      </c>
      <c r="C6" s="31">
        <v>2</v>
      </c>
      <c r="D6" s="31">
        <v>49.8</v>
      </c>
      <c r="I6" s="32">
        <v>55538867</v>
      </c>
      <c r="J6">
        <v>8052</v>
      </c>
      <c r="K6">
        <v>4</v>
      </c>
      <c r="L6">
        <v>182</v>
      </c>
      <c r="M6">
        <v>45.5</v>
      </c>
      <c r="N6" s="33"/>
      <c r="P6" s="32">
        <v>1</v>
      </c>
      <c r="Q6">
        <v>47.2</v>
      </c>
      <c r="R6">
        <v>4337</v>
      </c>
      <c r="S6" s="33">
        <v>56215623</v>
      </c>
    </row>
    <row r="7" spans="1:19" x14ac:dyDescent="0.25">
      <c r="A7" s="31">
        <v>55550051</v>
      </c>
      <c r="B7" s="31">
        <v>8104</v>
      </c>
      <c r="C7" s="31">
        <v>4</v>
      </c>
      <c r="D7" s="31">
        <v>109.6</v>
      </c>
      <c r="I7" s="32">
        <v>56035309</v>
      </c>
      <c r="J7">
        <v>8052</v>
      </c>
      <c r="K7">
        <v>2</v>
      </c>
      <c r="L7">
        <v>49.8</v>
      </c>
      <c r="M7">
        <v>24.9</v>
      </c>
      <c r="N7" s="33"/>
      <c r="P7" s="32">
        <v>1</v>
      </c>
      <c r="Q7">
        <v>28.3</v>
      </c>
      <c r="R7">
        <v>4337</v>
      </c>
      <c r="S7" s="33">
        <v>54518630</v>
      </c>
    </row>
    <row r="8" spans="1:19" x14ac:dyDescent="0.25">
      <c r="A8" s="31">
        <v>57000119</v>
      </c>
      <c r="B8" s="31">
        <v>8052</v>
      </c>
      <c r="C8" s="31">
        <v>3</v>
      </c>
      <c r="D8" s="31">
        <v>60</v>
      </c>
      <c r="I8" s="32">
        <v>55550051</v>
      </c>
      <c r="J8">
        <v>8104</v>
      </c>
      <c r="K8">
        <v>4</v>
      </c>
      <c r="L8">
        <v>109.6</v>
      </c>
      <c r="M8">
        <v>27.4</v>
      </c>
      <c r="N8" s="33"/>
      <c r="P8" s="32">
        <v>1</v>
      </c>
      <c r="Q8">
        <v>25.7</v>
      </c>
      <c r="R8">
        <v>4337</v>
      </c>
      <c r="S8" s="33">
        <v>107988939</v>
      </c>
    </row>
    <row r="9" spans="1:19" x14ac:dyDescent="0.25">
      <c r="A9" s="31">
        <v>55558817</v>
      </c>
      <c r="B9" s="31">
        <v>8104</v>
      </c>
      <c r="C9" s="31">
        <v>2</v>
      </c>
      <c r="D9" s="31">
        <v>350</v>
      </c>
      <c r="I9" s="32">
        <v>57000119</v>
      </c>
      <c r="J9">
        <v>8052</v>
      </c>
      <c r="K9">
        <v>3</v>
      </c>
      <c r="L9">
        <v>60</v>
      </c>
      <c r="M9">
        <v>20</v>
      </c>
      <c r="N9" s="33"/>
      <c r="P9" s="32">
        <v>1</v>
      </c>
      <c r="Q9">
        <v>24.3</v>
      </c>
      <c r="R9">
        <v>4337</v>
      </c>
      <c r="S9" s="33">
        <v>54535575</v>
      </c>
    </row>
    <row r="10" spans="1:19" x14ac:dyDescent="0.25">
      <c r="A10" s="31">
        <v>55451477</v>
      </c>
      <c r="B10" s="31">
        <v>8052</v>
      </c>
      <c r="C10" s="31">
        <v>4</v>
      </c>
      <c r="D10" s="31">
        <v>100</v>
      </c>
      <c r="I10" s="32">
        <v>55558817</v>
      </c>
      <c r="J10">
        <v>8104</v>
      </c>
      <c r="K10">
        <v>2</v>
      </c>
      <c r="L10">
        <v>350</v>
      </c>
      <c r="M10">
        <v>175</v>
      </c>
      <c r="N10" s="33"/>
      <c r="P10" s="32">
        <v>1</v>
      </c>
      <c r="Q10">
        <v>18.3</v>
      </c>
      <c r="R10">
        <v>4337</v>
      </c>
      <c r="S10" s="33">
        <v>57242336</v>
      </c>
    </row>
    <row r="11" spans="1:19" x14ac:dyDescent="0.25">
      <c r="A11" s="31">
        <v>56030563</v>
      </c>
      <c r="B11" s="31">
        <v>8320</v>
      </c>
      <c r="C11" s="31">
        <v>7</v>
      </c>
      <c r="D11" s="31">
        <v>350</v>
      </c>
      <c r="I11" s="32">
        <v>55451477</v>
      </c>
      <c r="J11">
        <v>8052</v>
      </c>
      <c r="K11">
        <v>4</v>
      </c>
      <c r="L11">
        <v>100</v>
      </c>
      <c r="M11">
        <v>25</v>
      </c>
      <c r="N11" s="33"/>
      <c r="P11" s="32">
        <v>1</v>
      </c>
      <c r="Q11">
        <v>15.9</v>
      </c>
      <c r="R11">
        <v>4337</v>
      </c>
      <c r="S11" s="33">
        <v>58264644</v>
      </c>
    </row>
    <row r="12" spans="1:19" x14ac:dyDescent="0.25">
      <c r="A12" s="31">
        <v>56310086</v>
      </c>
      <c r="B12" s="31">
        <v>8052</v>
      </c>
      <c r="C12" s="31">
        <v>4</v>
      </c>
      <c r="D12" s="31">
        <v>420</v>
      </c>
      <c r="I12" s="32">
        <v>56030563</v>
      </c>
      <c r="J12">
        <v>8320</v>
      </c>
      <c r="K12">
        <v>7</v>
      </c>
      <c r="L12">
        <v>350</v>
      </c>
      <c r="M12">
        <v>50</v>
      </c>
      <c r="N12" s="33"/>
      <c r="P12" s="32">
        <v>1</v>
      </c>
      <c r="Q12">
        <v>8.5</v>
      </c>
      <c r="R12">
        <v>1796</v>
      </c>
      <c r="S12" s="33">
        <v>79716633</v>
      </c>
    </row>
    <row r="13" spans="1:19" x14ac:dyDescent="0.25">
      <c r="A13" s="31"/>
      <c r="B13" s="31"/>
      <c r="C13" s="31"/>
      <c r="D13" s="31"/>
      <c r="I13" s="32">
        <v>56310086</v>
      </c>
      <c r="J13">
        <v>8052</v>
      </c>
      <c r="K13">
        <v>4</v>
      </c>
      <c r="L13">
        <v>420</v>
      </c>
      <c r="M13">
        <v>105</v>
      </c>
      <c r="N13" s="33"/>
      <c r="P13" s="32">
        <v>1</v>
      </c>
      <c r="Q13">
        <v>1</v>
      </c>
      <c r="R13">
        <v>1796</v>
      </c>
      <c r="S13" s="33">
        <v>79542800</v>
      </c>
    </row>
    <row r="14" spans="1:19" x14ac:dyDescent="0.25">
      <c r="A14" s="31">
        <v>54326699</v>
      </c>
      <c r="B14" s="31">
        <v>8104</v>
      </c>
      <c r="C14" s="31">
        <v>3</v>
      </c>
      <c r="D14" s="31">
        <v>41</v>
      </c>
      <c r="I14" s="32">
        <v>54326699</v>
      </c>
      <c r="J14">
        <v>8104</v>
      </c>
      <c r="K14">
        <v>3</v>
      </c>
      <c r="L14">
        <v>41</v>
      </c>
      <c r="M14">
        <v>13.666666666666666</v>
      </c>
      <c r="N14" s="33"/>
      <c r="P14" s="32">
        <v>2</v>
      </c>
      <c r="Q14">
        <v>148</v>
      </c>
      <c r="R14">
        <v>9084</v>
      </c>
      <c r="S14" s="33">
        <v>106477571</v>
      </c>
    </row>
    <row r="15" spans="1:19" x14ac:dyDescent="0.25">
      <c r="A15" s="31">
        <v>56479526</v>
      </c>
      <c r="B15" s="31">
        <v>8052</v>
      </c>
      <c r="C15" s="31">
        <v>3</v>
      </c>
      <c r="D15" s="31">
        <v>33.9</v>
      </c>
      <c r="I15" s="32">
        <v>56479526</v>
      </c>
      <c r="J15">
        <v>8052</v>
      </c>
      <c r="K15">
        <v>3</v>
      </c>
      <c r="L15">
        <v>33.9</v>
      </c>
      <c r="M15">
        <v>11.299999999999999</v>
      </c>
      <c r="N15" s="33"/>
      <c r="P15" s="32">
        <v>2</v>
      </c>
      <c r="Q15">
        <v>141</v>
      </c>
      <c r="R15">
        <v>9084</v>
      </c>
      <c r="S15" s="33">
        <v>102294860</v>
      </c>
    </row>
    <row r="16" spans="1:19" x14ac:dyDescent="0.25">
      <c r="A16" s="31"/>
      <c r="B16" s="31"/>
      <c r="C16" s="31"/>
      <c r="D16" s="31"/>
      <c r="I16" s="32">
        <v>54772362</v>
      </c>
      <c r="J16">
        <v>8052</v>
      </c>
      <c r="K16">
        <v>3</v>
      </c>
      <c r="L16">
        <v>57</v>
      </c>
      <c r="M16">
        <v>19</v>
      </c>
      <c r="N16" s="33"/>
      <c r="P16" s="32">
        <v>2</v>
      </c>
      <c r="Q16">
        <v>121</v>
      </c>
      <c r="R16">
        <v>9084</v>
      </c>
      <c r="S16" s="33">
        <v>123575118</v>
      </c>
    </row>
    <row r="17" spans="1:19" ht="15.75" thickBot="1" x14ac:dyDescent="0.3">
      <c r="A17" s="31">
        <v>54772362</v>
      </c>
      <c r="B17" s="31">
        <v>8052</v>
      </c>
      <c r="C17" s="31">
        <v>3</v>
      </c>
      <c r="D17" s="31">
        <v>57</v>
      </c>
      <c r="I17" s="34">
        <v>55577942</v>
      </c>
      <c r="J17" s="35">
        <v>8052</v>
      </c>
      <c r="K17" s="35">
        <v>2</v>
      </c>
      <c r="L17" s="35">
        <v>30.5</v>
      </c>
      <c r="M17" s="35">
        <v>15.25</v>
      </c>
      <c r="N17" s="36"/>
      <c r="P17" s="32">
        <v>2</v>
      </c>
      <c r="Q17">
        <v>85</v>
      </c>
      <c r="R17">
        <v>9084</v>
      </c>
      <c r="S17" s="33">
        <v>115137791</v>
      </c>
    </row>
    <row r="18" spans="1:19" x14ac:dyDescent="0.25">
      <c r="A18" s="31">
        <v>55577942</v>
      </c>
      <c r="B18" s="31">
        <v>8052</v>
      </c>
      <c r="C18" s="31">
        <v>2</v>
      </c>
      <c r="D18" s="31">
        <v>30.5</v>
      </c>
      <c r="P18" s="32">
        <v>2</v>
      </c>
      <c r="Q18">
        <v>76</v>
      </c>
      <c r="R18">
        <v>9084</v>
      </c>
      <c r="S18" s="33">
        <v>96438747</v>
      </c>
    </row>
    <row r="19" spans="1:19" x14ac:dyDescent="0.25">
      <c r="P19" s="32">
        <v>2</v>
      </c>
      <c r="Q19">
        <v>70</v>
      </c>
      <c r="R19">
        <v>9084</v>
      </c>
      <c r="S19" s="33">
        <v>122579780</v>
      </c>
    </row>
    <row r="20" spans="1:19" x14ac:dyDescent="0.25">
      <c r="P20" s="32">
        <v>2</v>
      </c>
      <c r="Q20">
        <v>69</v>
      </c>
      <c r="R20">
        <v>9084</v>
      </c>
      <c r="S20" s="33">
        <v>99515702</v>
      </c>
    </row>
    <row r="21" spans="1:19" ht="18" thickBot="1" x14ac:dyDescent="0.35">
      <c r="A21" s="30" t="s">
        <v>488</v>
      </c>
      <c r="B21" s="30" t="s">
        <v>492</v>
      </c>
      <c r="E21" s="37" t="s">
        <v>571</v>
      </c>
      <c r="F21" s="37"/>
      <c r="G21" s="37"/>
      <c r="H21" s="37"/>
      <c r="P21" s="32">
        <v>2</v>
      </c>
      <c r="Q21">
        <v>66.400000000000006</v>
      </c>
      <c r="R21">
        <v>8052</v>
      </c>
      <c r="S21" s="33">
        <v>54781267</v>
      </c>
    </row>
    <row r="22" spans="1:19" ht="15.75" thickTop="1" x14ac:dyDescent="0.25">
      <c r="A22" s="30">
        <v>55538867</v>
      </c>
      <c r="B22" s="30">
        <v>8052</v>
      </c>
      <c r="E22" s="32" t="str" cm="1">
        <f t="array" ref="E22:H30">_xlfn._xlws.PY(34,0,A21:B29,A31:C39)</f>
        <v>Order ID</v>
      </c>
      <c r="F22" t="str">
        <v xml:space="preserve">Store </v>
      </c>
      <c r="G22" t="str">
        <v>NB_cust</v>
      </c>
      <c r="H22" s="33" t="str">
        <v>Amount</v>
      </c>
      <c r="P22" s="32">
        <v>2</v>
      </c>
      <c r="Q22">
        <v>60</v>
      </c>
      <c r="R22">
        <v>9084</v>
      </c>
      <c r="S22" s="33">
        <v>119090984</v>
      </c>
    </row>
    <row r="23" spans="1:19" x14ac:dyDescent="0.25">
      <c r="A23" s="30">
        <v>56035309</v>
      </c>
      <c r="B23" s="30">
        <v>8052</v>
      </c>
      <c r="E23" s="32">
        <v>55538867</v>
      </c>
      <c r="F23">
        <v>8052</v>
      </c>
      <c r="G23">
        <v>4</v>
      </c>
      <c r="H23" s="33">
        <v>182</v>
      </c>
      <c r="P23" s="32">
        <v>2</v>
      </c>
      <c r="Q23">
        <v>54</v>
      </c>
      <c r="R23">
        <v>9084</v>
      </c>
      <c r="S23" s="33">
        <v>98505760</v>
      </c>
    </row>
    <row r="24" spans="1:19" x14ac:dyDescent="0.25">
      <c r="A24" s="30">
        <v>55550051</v>
      </c>
      <c r="B24" s="30">
        <v>8104</v>
      </c>
      <c r="E24" s="32">
        <v>56035309</v>
      </c>
      <c r="F24">
        <v>8052</v>
      </c>
      <c r="G24">
        <v>2</v>
      </c>
      <c r="H24" s="33">
        <v>49.8</v>
      </c>
      <c r="P24" s="32">
        <v>2</v>
      </c>
      <c r="Q24">
        <v>54</v>
      </c>
      <c r="R24">
        <v>9084</v>
      </c>
      <c r="S24" s="33">
        <v>99954822</v>
      </c>
    </row>
    <row r="25" spans="1:19" x14ac:dyDescent="0.25">
      <c r="A25" s="30">
        <v>57000119</v>
      </c>
      <c r="B25" s="30">
        <v>8052</v>
      </c>
      <c r="E25" s="32">
        <v>55550051</v>
      </c>
      <c r="F25">
        <v>8104</v>
      </c>
      <c r="G25">
        <v>4</v>
      </c>
      <c r="H25" s="33">
        <v>109.6</v>
      </c>
      <c r="P25" s="32">
        <v>2</v>
      </c>
      <c r="Q25">
        <v>52</v>
      </c>
      <c r="R25">
        <v>9084</v>
      </c>
      <c r="S25" s="33">
        <v>102477577</v>
      </c>
    </row>
    <row r="26" spans="1:19" x14ac:dyDescent="0.25">
      <c r="A26" s="30">
        <v>55558817</v>
      </c>
      <c r="B26" s="30">
        <v>8104</v>
      </c>
      <c r="E26" s="32">
        <v>57000119</v>
      </c>
      <c r="F26">
        <v>8052</v>
      </c>
      <c r="G26">
        <v>3</v>
      </c>
      <c r="H26" s="33">
        <v>60</v>
      </c>
      <c r="P26" s="32">
        <v>2</v>
      </c>
      <c r="Q26">
        <v>51</v>
      </c>
      <c r="R26">
        <v>9084</v>
      </c>
      <c r="S26" s="33">
        <v>122714030</v>
      </c>
    </row>
    <row r="27" spans="1:19" x14ac:dyDescent="0.25">
      <c r="A27" s="30">
        <v>55451477</v>
      </c>
      <c r="B27" s="30">
        <v>8052</v>
      </c>
      <c r="E27" s="32">
        <v>55558817</v>
      </c>
      <c r="F27">
        <v>8104</v>
      </c>
      <c r="G27">
        <v>2</v>
      </c>
      <c r="H27" s="33">
        <v>39.9</v>
      </c>
      <c r="P27" s="32">
        <v>2</v>
      </c>
      <c r="Q27">
        <v>49.8</v>
      </c>
      <c r="R27">
        <v>8052</v>
      </c>
      <c r="S27" s="33">
        <v>56035309</v>
      </c>
    </row>
    <row r="28" spans="1:19" x14ac:dyDescent="0.25">
      <c r="A28" s="30">
        <v>56030563</v>
      </c>
      <c r="B28" s="30">
        <v>8320</v>
      </c>
      <c r="E28" s="32">
        <v>55451477</v>
      </c>
      <c r="F28">
        <v>8052</v>
      </c>
      <c r="G28">
        <v>4</v>
      </c>
      <c r="H28" s="33">
        <v>100</v>
      </c>
      <c r="P28" s="32">
        <v>2</v>
      </c>
      <c r="Q28">
        <v>46</v>
      </c>
      <c r="R28">
        <v>9084</v>
      </c>
      <c r="S28" s="33">
        <v>106027988</v>
      </c>
    </row>
    <row r="29" spans="1:19" x14ac:dyDescent="0.25">
      <c r="A29" s="30">
        <v>56310086</v>
      </c>
      <c r="B29" s="30">
        <v>8052</v>
      </c>
      <c r="E29" s="32">
        <v>56030563</v>
      </c>
      <c r="F29">
        <v>8320</v>
      </c>
      <c r="G29">
        <v>7</v>
      </c>
      <c r="H29" s="33">
        <v>220.7</v>
      </c>
      <c r="P29" s="32">
        <v>2</v>
      </c>
      <c r="Q29">
        <v>46</v>
      </c>
      <c r="R29">
        <v>9084</v>
      </c>
      <c r="S29" s="33">
        <v>98511019</v>
      </c>
    </row>
    <row r="30" spans="1:19" ht="15.75" thickBot="1" x14ac:dyDescent="0.3">
      <c r="E30" s="34">
        <v>56310086</v>
      </c>
      <c r="F30" s="35">
        <v>8052</v>
      </c>
      <c r="G30" s="35">
        <v>4</v>
      </c>
      <c r="H30" s="36">
        <v>444</v>
      </c>
      <c r="P30" s="32">
        <v>2</v>
      </c>
      <c r="Q30">
        <v>42</v>
      </c>
      <c r="R30">
        <v>9084</v>
      </c>
      <c r="S30" s="33">
        <v>116089585</v>
      </c>
    </row>
    <row r="31" spans="1:19" x14ac:dyDescent="0.25">
      <c r="A31" s="30" t="s">
        <v>490</v>
      </c>
      <c r="B31" s="30" t="s">
        <v>491</v>
      </c>
      <c r="C31" s="30" t="s">
        <v>488</v>
      </c>
      <c r="P31" s="32">
        <v>2</v>
      </c>
      <c r="Q31">
        <v>39.9</v>
      </c>
      <c r="R31">
        <v>8104</v>
      </c>
      <c r="S31" s="33">
        <v>55558817</v>
      </c>
    </row>
    <row r="32" spans="1:19" x14ac:dyDescent="0.25">
      <c r="A32" s="30">
        <v>4</v>
      </c>
      <c r="B32" s="30">
        <v>182</v>
      </c>
      <c r="C32" s="30">
        <v>55538867</v>
      </c>
      <c r="P32" s="32">
        <v>2</v>
      </c>
      <c r="Q32">
        <v>38.07</v>
      </c>
      <c r="R32">
        <v>8052</v>
      </c>
      <c r="S32" s="33">
        <v>57014449</v>
      </c>
    </row>
    <row r="33" spans="1:19" ht="18" thickBot="1" x14ac:dyDescent="0.35">
      <c r="A33" s="30">
        <v>7</v>
      </c>
      <c r="B33" s="30">
        <v>220.7</v>
      </c>
      <c r="C33" s="30">
        <v>56030563</v>
      </c>
      <c r="E33" s="37" t="s">
        <v>572</v>
      </c>
      <c r="F33" s="37"/>
      <c r="G33" s="37"/>
      <c r="H33" s="37"/>
      <c r="I33" s="37"/>
      <c r="J33" s="37"/>
      <c r="K33" s="37"/>
      <c r="P33" s="32">
        <v>2</v>
      </c>
      <c r="Q33">
        <v>37</v>
      </c>
      <c r="R33">
        <v>9084</v>
      </c>
      <c r="S33" s="33">
        <v>122419414</v>
      </c>
    </row>
    <row r="34" spans="1:19" ht="15.75" thickTop="1" x14ac:dyDescent="0.25">
      <c r="A34" s="30">
        <v>4</v>
      </c>
      <c r="B34" s="30">
        <v>109.6</v>
      </c>
      <c r="C34" s="30">
        <v>55550051</v>
      </c>
      <c r="E34" s="32" t="str" cm="1">
        <f t="array" ref="E34:K42">_xlfn._xlws.PY(35,0,A4:D12)</f>
        <v>Order ID</v>
      </c>
      <c r="F34" t="str">
        <v>Store</v>
      </c>
      <c r="G34" t="str">
        <v>NB_cust</v>
      </c>
      <c r="H34" t="str">
        <v>Amount</v>
      </c>
      <c r="I34" t="str">
        <v>avg/cust</v>
      </c>
      <c r="J34" t="str">
        <v>zscore</v>
      </c>
      <c r="K34" s="33" t="str">
        <v>anomaly</v>
      </c>
      <c r="P34" s="32">
        <v>2</v>
      </c>
      <c r="Q34">
        <v>35</v>
      </c>
      <c r="R34">
        <v>9084</v>
      </c>
      <c r="S34" s="33">
        <v>115844535</v>
      </c>
    </row>
    <row r="35" spans="1:19" x14ac:dyDescent="0.25">
      <c r="A35" s="30">
        <v>2</v>
      </c>
      <c r="B35" s="30">
        <v>39.9</v>
      </c>
      <c r="C35" s="30">
        <v>55558817</v>
      </c>
      <c r="E35" s="32">
        <v>55538867</v>
      </c>
      <c r="F35">
        <v>8052</v>
      </c>
      <c r="G35">
        <v>4</v>
      </c>
      <c r="H35">
        <v>182</v>
      </c>
      <c r="I35">
        <v>45.5</v>
      </c>
      <c r="J35">
        <v>-0.25025369814691811</v>
      </c>
      <c r="K35" s="33" t="b">
        <v>0</v>
      </c>
      <c r="P35" s="32">
        <v>2</v>
      </c>
      <c r="Q35">
        <v>35</v>
      </c>
      <c r="R35">
        <v>9084</v>
      </c>
      <c r="S35" s="33">
        <v>121908832</v>
      </c>
    </row>
    <row r="36" spans="1:19" x14ac:dyDescent="0.25">
      <c r="A36" s="30">
        <v>4</v>
      </c>
      <c r="B36" s="30">
        <v>100</v>
      </c>
      <c r="C36" s="30">
        <v>55451477</v>
      </c>
      <c r="E36" s="32">
        <v>56035309</v>
      </c>
      <c r="F36">
        <v>8052</v>
      </c>
      <c r="G36">
        <v>2</v>
      </c>
      <c r="H36">
        <v>49.8</v>
      </c>
      <c r="I36">
        <v>24.9</v>
      </c>
      <c r="J36">
        <v>-0.62931444681063231</v>
      </c>
      <c r="K36" s="33" t="b">
        <v>0</v>
      </c>
      <c r="P36" s="32">
        <v>2</v>
      </c>
      <c r="Q36">
        <v>34</v>
      </c>
      <c r="R36">
        <v>9084</v>
      </c>
      <c r="S36" s="33">
        <v>119799452</v>
      </c>
    </row>
    <row r="37" spans="1:19" x14ac:dyDescent="0.25">
      <c r="A37" s="30">
        <v>3</v>
      </c>
      <c r="B37" s="30">
        <v>60</v>
      </c>
      <c r="C37" s="30">
        <v>57000119</v>
      </c>
      <c r="E37" s="32">
        <v>55550051</v>
      </c>
      <c r="F37">
        <v>8104</v>
      </c>
      <c r="G37">
        <v>4</v>
      </c>
      <c r="H37">
        <v>109.6</v>
      </c>
      <c r="I37">
        <v>27.4</v>
      </c>
      <c r="J37">
        <v>-0.58331192876891946</v>
      </c>
      <c r="K37" s="33" t="b">
        <v>0</v>
      </c>
      <c r="P37" s="32">
        <v>2</v>
      </c>
      <c r="Q37">
        <v>34</v>
      </c>
      <c r="R37">
        <v>9084</v>
      </c>
      <c r="S37" s="33">
        <v>118799019</v>
      </c>
    </row>
    <row r="38" spans="1:19" x14ac:dyDescent="0.25">
      <c r="A38" s="30">
        <v>4</v>
      </c>
      <c r="B38" s="30">
        <v>444</v>
      </c>
      <c r="C38" s="30">
        <v>56310086</v>
      </c>
      <c r="E38" s="32">
        <v>57000119</v>
      </c>
      <c r="F38">
        <v>8052</v>
      </c>
      <c r="G38">
        <v>3</v>
      </c>
      <c r="H38">
        <v>60</v>
      </c>
      <c r="I38">
        <v>20</v>
      </c>
      <c r="J38">
        <v>-0.71947938217238949</v>
      </c>
      <c r="K38" s="33" t="b">
        <v>0</v>
      </c>
      <c r="P38" s="32">
        <v>2</v>
      </c>
      <c r="Q38">
        <v>30.5</v>
      </c>
      <c r="R38">
        <v>8052</v>
      </c>
      <c r="S38" s="33">
        <v>55577942</v>
      </c>
    </row>
    <row r="39" spans="1:19" x14ac:dyDescent="0.25">
      <c r="A39" s="30">
        <v>2</v>
      </c>
      <c r="B39" s="30">
        <v>49.8</v>
      </c>
      <c r="C39" s="30">
        <v>56035309</v>
      </c>
      <c r="E39" s="32">
        <v>55558817</v>
      </c>
      <c r="F39">
        <v>8104</v>
      </c>
      <c r="G39">
        <v>2</v>
      </c>
      <c r="H39">
        <v>350</v>
      </c>
      <c r="I39">
        <v>175</v>
      </c>
      <c r="J39">
        <v>2.1326767364138095</v>
      </c>
      <c r="K39" s="33" t="b">
        <v>1</v>
      </c>
      <c r="P39" s="32">
        <v>2</v>
      </c>
      <c r="Q39">
        <v>29</v>
      </c>
      <c r="R39">
        <v>9084</v>
      </c>
      <c r="S39" s="33">
        <v>96905476</v>
      </c>
    </row>
    <row r="40" spans="1:19" x14ac:dyDescent="0.25">
      <c r="E40" s="32">
        <v>55451477</v>
      </c>
      <c r="F40">
        <v>8052</v>
      </c>
      <c r="G40">
        <v>4</v>
      </c>
      <c r="H40">
        <v>100</v>
      </c>
      <c r="I40">
        <v>25</v>
      </c>
      <c r="J40">
        <v>-0.6274743460889638</v>
      </c>
      <c r="K40" s="33" t="b">
        <v>0</v>
      </c>
      <c r="P40" s="32">
        <v>2</v>
      </c>
      <c r="Q40">
        <v>29</v>
      </c>
      <c r="R40">
        <v>9084</v>
      </c>
      <c r="S40" s="33">
        <v>96384894</v>
      </c>
    </row>
    <row r="41" spans="1:19" x14ac:dyDescent="0.25">
      <c r="E41" s="32">
        <v>56030563</v>
      </c>
      <c r="F41">
        <v>8320</v>
      </c>
      <c r="G41">
        <v>7</v>
      </c>
      <c r="H41">
        <v>350</v>
      </c>
      <c r="I41">
        <v>50</v>
      </c>
      <c r="J41">
        <v>-0.16744916567183493</v>
      </c>
      <c r="K41" s="33" t="b">
        <v>0</v>
      </c>
      <c r="P41" s="32">
        <v>2</v>
      </c>
      <c r="Q41">
        <v>28</v>
      </c>
      <c r="R41">
        <v>9084</v>
      </c>
      <c r="S41" s="33">
        <v>112045733</v>
      </c>
    </row>
    <row r="42" spans="1:19" ht="15.75" thickBot="1" x14ac:dyDescent="0.3">
      <c r="E42" s="34">
        <v>56310086</v>
      </c>
      <c r="F42" s="35">
        <v>8052</v>
      </c>
      <c r="G42" s="35">
        <v>4</v>
      </c>
      <c r="H42" s="35">
        <v>420</v>
      </c>
      <c r="I42" s="35">
        <v>105</v>
      </c>
      <c r="J42" s="35">
        <v>0.84460623124584855</v>
      </c>
      <c r="K42" s="36" t="b">
        <v>0</v>
      </c>
      <c r="P42" s="32">
        <v>2</v>
      </c>
      <c r="Q42">
        <v>27</v>
      </c>
      <c r="R42">
        <v>9084</v>
      </c>
      <c r="S42" s="33">
        <v>118648774</v>
      </c>
    </row>
    <row r="43" spans="1:19" x14ac:dyDescent="0.25">
      <c r="P43" s="32">
        <v>2</v>
      </c>
      <c r="Q43">
        <v>23</v>
      </c>
      <c r="R43">
        <v>9084</v>
      </c>
      <c r="S43" s="33">
        <v>101890468</v>
      </c>
    </row>
    <row r="44" spans="1:19" x14ac:dyDescent="0.25">
      <c r="P44" s="32">
        <v>2</v>
      </c>
      <c r="Q44">
        <v>22.8</v>
      </c>
      <c r="R44">
        <v>8052</v>
      </c>
      <c r="S44" s="33">
        <v>54775385</v>
      </c>
    </row>
    <row r="45" spans="1:19" x14ac:dyDescent="0.25">
      <c r="P45" s="32">
        <v>2</v>
      </c>
      <c r="Q45">
        <v>22</v>
      </c>
      <c r="R45">
        <v>9084</v>
      </c>
      <c r="S45" s="33">
        <v>121456426</v>
      </c>
    </row>
    <row r="46" spans="1:19" x14ac:dyDescent="0.25">
      <c r="P46" s="32">
        <v>2</v>
      </c>
      <c r="Q46">
        <v>16</v>
      </c>
      <c r="R46">
        <v>9084</v>
      </c>
      <c r="S46" s="33">
        <v>115138838</v>
      </c>
    </row>
    <row r="47" spans="1:19" x14ac:dyDescent="0.25">
      <c r="P47" s="32">
        <v>2</v>
      </c>
      <c r="Q47">
        <v>14</v>
      </c>
      <c r="R47">
        <v>9084</v>
      </c>
      <c r="S47" s="33">
        <v>99936708</v>
      </c>
    </row>
    <row r="48" spans="1:19" x14ac:dyDescent="0.25">
      <c r="P48" s="32">
        <v>2</v>
      </c>
      <c r="Q48">
        <v>14</v>
      </c>
      <c r="R48">
        <v>9084</v>
      </c>
      <c r="S48" s="33">
        <v>102094042</v>
      </c>
    </row>
    <row r="49" spans="16:19" x14ac:dyDescent="0.25">
      <c r="P49" s="32">
        <v>2</v>
      </c>
      <c r="Q49">
        <v>13</v>
      </c>
      <c r="R49">
        <v>9084</v>
      </c>
      <c r="S49" s="33">
        <v>106060878</v>
      </c>
    </row>
    <row r="50" spans="16:19" x14ac:dyDescent="0.25">
      <c r="P50" s="32">
        <v>2</v>
      </c>
      <c r="Q50">
        <v>13</v>
      </c>
      <c r="R50">
        <v>9084</v>
      </c>
      <c r="S50" s="33">
        <v>120209986</v>
      </c>
    </row>
    <row r="51" spans="16:19" x14ac:dyDescent="0.25">
      <c r="P51" s="32">
        <v>2</v>
      </c>
      <c r="Q51">
        <v>12</v>
      </c>
      <c r="R51">
        <v>9084</v>
      </c>
      <c r="S51" s="33">
        <v>106323184</v>
      </c>
    </row>
    <row r="52" spans="16:19" x14ac:dyDescent="0.25">
      <c r="P52" s="32">
        <v>2</v>
      </c>
      <c r="Q52">
        <v>11.5</v>
      </c>
      <c r="R52">
        <v>8052</v>
      </c>
      <c r="S52" s="33">
        <v>54327721</v>
      </c>
    </row>
    <row r="53" spans="16:19" x14ac:dyDescent="0.25">
      <c r="P53" s="32">
        <v>2</v>
      </c>
      <c r="Q53">
        <v>10</v>
      </c>
      <c r="R53">
        <v>9084</v>
      </c>
      <c r="S53" s="33">
        <v>121451778</v>
      </c>
    </row>
    <row r="54" spans="16:19" x14ac:dyDescent="0.25">
      <c r="P54" s="32">
        <v>2</v>
      </c>
      <c r="Q54">
        <v>10</v>
      </c>
      <c r="R54">
        <v>9084</v>
      </c>
      <c r="S54" s="33">
        <v>110678801</v>
      </c>
    </row>
    <row r="55" spans="16:19" x14ac:dyDescent="0.25">
      <c r="P55" s="32">
        <v>3</v>
      </c>
      <c r="Q55">
        <v>79</v>
      </c>
      <c r="R55">
        <v>9084</v>
      </c>
      <c r="S55" s="33">
        <v>110553673</v>
      </c>
    </row>
    <row r="56" spans="16:19" x14ac:dyDescent="0.25">
      <c r="P56" s="32">
        <v>3</v>
      </c>
      <c r="Q56">
        <v>67.5</v>
      </c>
      <c r="R56">
        <v>8052</v>
      </c>
      <c r="S56" s="33">
        <v>55437174</v>
      </c>
    </row>
    <row r="57" spans="16:19" x14ac:dyDescent="0.25">
      <c r="P57" s="32">
        <v>3</v>
      </c>
      <c r="Q57">
        <v>66</v>
      </c>
      <c r="R57">
        <v>9084</v>
      </c>
      <c r="S57" s="33">
        <v>122729717</v>
      </c>
    </row>
    <row r="58" spans="16:19" x14ac:dyDescent="0.25">
      <c r="P58" s="32">
        <v>3</v>
      </c>
      <c r="Q58">
        <v>60</v>
      </c>
      <c r="R58">
        <v>8052</v>
      </c>
      <c r="S58" s="33">
        <v>57000119</v>
      </c>
    </row>
    <row r="59" spans="16:19" x14ac:dyDescent="0.25">
      <c r="P59" s="32">
        <v>3</v>
      </c>
      <c r="Q59">
        <v>57</v>
      </c>
      <c r="R59">
        <v>8052</v>
      </c>
      <c r="S59" s="33">
        <v>54772362</v>
      </c>
    </row>
    <row r="60" spans="16:19" x14ac:dyDescent="0.25">
      <c r="P60" s="32">
        <v>3</v>
      </c>
      <c r="Q60">
        <v>55</v>
      </c>
      <c r="R60">
        <v>8052</v>
      </c>
      <c r="S60" s="33">
        <v>54332155</v>
      </c>
    </row>
    <row r="61" spans="16:19" x14ac:dyDescent="0.25">
      <c r="P61" s="32">
        <v>3</v>
      </c>
      <c r="Q61">
        <v>44.9</v>
      </c>
      <c r="R61">
        <v>8052</v>
      </c>
      <c r="S61" s="33">
        <v>56335446</v>
      </c>
    </row>
    <row r="62" spans="16:19" x14ac:dyDescent="0.25">
      <c r="P62" s="32">
        <v>3</v>
      </c>
      <c r="Q62">
        <v>41.5</v>
      </c>
      <c r="R62">
        <v>8104</v>
      </c>
      <c r="S62" s="33">
        <v>55055160</v>
      </c>
    </row>
    <row r="63" spans="16:19" x14ac:dyDescent="0.25">
      <c r="P63" s="32">
        <v>3</v>
      </c>
      <c r="Q63">
        <v>41</v>
      </c>
      <c r="R63">
        <v>8104</v>
      </c>
      <c r="S63" s="33">
        <v>54326699</v>
      </c>
    </row>
    <row r="64" spans="16:19" x14ac:dyDescent="0.25">
      <c r="P64" s="32">
        <v>3</v>
      </c>
      <c r="Q64">
        <v>39</v>
      </c>
      <c r="R64">
        <v>9084</v>
      </c>
      <c r="S64" s="33">
        <v>97235962</v>
      </c>
    </row>
    <row r="65" spans="16:19" x14ac:dyDescent="0.25">
      <c r="P65" s="32">
        <v>3</v>
      </c>
      <c r="Q65">
        <v>37.9</v>
      </c>
      <c r="R65">
        <v>8052</v>
      </c>
      <c r="S65" s="33">
        <v>55578358</v>
      </c>
    </row>
    <row r="66" spans="16:19" x14ac:dyDescent="0.25">
      <c r="P66" s="32">
        <v>3</v>
      </c>
      <c r="Q66">
        <v>33.9</v>
      </c>
      <c r="R66">
        <v>8052</v>
      </c>
      <c r="S66" s="33">
        <v>56479526</v>
      </c>
    </row>
    <row r="67" spans="16:19" x14ac:dyDescent="0.25">
      <c r="P67" s="32">
        <v>4</v>
      </c>
      <c r="Q67">
        <v>908</v>
      </c>
      <c r="R67">
        <v>9084</v>
      </c>
      <c r="S67" s="33">
        <v>124163994</v>
      </c>
    </row>
    <row r="68" spans="16:19" x14ac:dyDescent="0.25">
      <c r="P68" s="32">
        <v>4</v>
      </c>
      <c r="Q68">
        <v>856.8</v>
      </c>
      <c r="R68">
        <v>8283</v>
      </c>
      <c r="S68" s="33">
        <v>133908424</v>
      </c>
    </row>
    <row r="69" spans="16:19" x14ac:dyDescent="0.25">
      <c r="P69" s="32">
        <v>4</v>
      </c>
      <c r="Q69">
        <v>604.79999999999995</v>
      </c>
      <c r="R69">
        <v>8283</v>
      </c>
      <c r="S69" s="33">
        <v>122714825</v>
      </c>
    </row>
    <row r="70" spans="16:19" x14ac:dyDescent="0.25">
      <c r="P70" s="32">
        <v>4</v>
      </c>
      <c r="Q70">
        <v>571.20000000000005</v>
      </c>
      <c r="R70">
        <v>8283</v>
      </c>
      <c r="S70" s="33">
        <v>118090548</v>
      </c>
    </row>
    <row r="71" spans="16:19" x14ac:dyDescent="0.25">
      <c r="P71" s="32">
        <v>4</v>
      </c>
      <c r="Q71">
        <v>547.6</v>
      </c>
      <c r="R71">
        <v>8283</v>
      </c>
      <c r="S71" s="33">
        <v>125761172</v>
      </c>
    </row>
    <row r="72" spans="16:19" x14ac:dyDescent="0.25">
      <c r="P72" s="32">
        <v>4</v>
      </c>
      <c r="Q72">
        <v>516</v>
      </c>
      <c r="R72">
        <v>9084</v>
      </c>
      <c r="S72" s="33">
        <v>124026233</v>
      </c>
    </row>
    <row r="73" spans="16:19" x14ac:dyDescent="0.25">
      <c r="P73" s="32">
        <v>4</v>
      </c>
      <c r="Q73">
        <v>444</v>
      </c>
      <c r="R73">
        <v>8052</v>
      </c>
      <c r="S73" s="33">
        <v>56310086</v>
      </c>
    </row>
    <row r="74" spans="16:19" x14ac:dyDescent="0.25">
      <c r="P74" s="32">
        <v>4</v>
      </c>
      <c r="Q74">
        <v>415.84</v>
      </c>
      <c r="R74">
        <v>8283</v>
      </c>
      <c r="S74" s="33">
        <v>115724529</v>
      </c>
    </row>
    <row r="75" spans="16:19" x14ac:dyDescent="0.25">
      <c r="P75" s="32">
        <v>4</v>
      </c>
      <c r="Q75">
        <v>414.4</v>
      </c>
      <c r="R75">
        <v>8283</v>
      </c>
      <c r="S75" s="33">
        <v>99891415</v>
      </c>
    </row>
    <row r="76" spans="16:19" x14ac:dyDescent="0.25">
      <c r="P76" s="32">
        <v>4</v>
      </c>
      <c r="Q76">
        <v>400</v>
      </c>
      <c r="R76">
        <v>8283</v>
      </c>
      <c r="S76" s="33">
        <v>117038156</v>
      </c>
    </row>
    <row r="77" spans="16:19" x14ac:dyDescent="0.25">
      <c r="P77" s="32">
        <v>4</v>
      </c>
      <c r="Q77">
        <v>374.8</v>
      </c>
      <c r="R77">
        <v>8283</v>
      </c>
      <c r="S77" s="33">
        <v>123298532</v>
      </c>
    </row>
    <row r="78" spans="16:19" x14ac:dyDescent="0.25">
      <c r="P78" s="32">
        <v>4</v>
      </c>
      <c r="Q78">
        <v>372</v>
      </c>
      <c r="R78">
        <v>9084</v>
      </c>
      <c r="S78" s="33">
        <v>124176180</v>
      </c>
    </row>
    <row r="79" spans="16:19" x14ac:dyDescent="0.25">
      <c r="P79" s="32">
        <v>4</v>
      </c>
      <c r="Q79">
        <v>366.8</v>
      </c>
      <c r="R79">
        <v>8283</v>
      </c>
      <c r="S79" s="33">
        <v>133929508</v>
      </c>
    </row>
    <row r="80" spans="16:19" x14ac:dyDescent="0.25">
      <c r="P80" s="32">
        <v>4</v>
      </c>
      <c r="Q80">
        <v>355.2</v>
      </c>
      <c r="R80">
        <v>8283</v>
      </c>
      <c r="S80" s="33">
        <v>123555074</v>
      </c>
    </row>
    <row r="81" spans="16:19" x14ac:dyDescent="0.25">
      <c r="P81" s="32">
        <v>4</v>
      </c>
      <c r="Q81">
        <v>344</v>
      </c>
      <c r="R81">
        <v>9084</v>
      </c>
      <c r="S81" s="33">
        <v>115289722</v>
      </c>
    </row>
    <row r="82" spans="16:19" x14ac:dyDescent="0.25">
      <c r="P82" s="32">
        <v>4</v>
      </c>
      <c r="Q82">
        <v>320</v>
      </c>
      <c r="R82">
        <v>9084</v>
      </c>
      <c r="S82" s="33">
        <v>123811009</v>
      </c>
    </row>
    <row r="83" spans="16:19" x14ac:dyDescent="0.25">
      <c r="P83" s="32">
        <v>4</v>
      </c>
      <c r="Q83">
        <v>286.8</v>
      </c>
      <c r="R83">
        <v>8283</v>
      </c>
      <c r="S83" s="33">
        <v>123156446</v>
      </c>
    </row>
    <row r="84" spans="16:19" x14ac:dyDescent="0.25">
      <c r="P84" s="32">
        <v>4</v>
      </c>
      <c r="Q84">
        <v>284</v>
      </c>
      <c r="R84">
        <v>9084</v>
      </c>
      <c r="S84" s="33">
        <v>124375407</v>
      </c>
    </row>
    <row r="85" spans="16:19" x14ac:dyDescent="0.25">
      <c r="P85" s="32">
        <v>4</v>
      </c>
      <c r="Q85">
        <v>271.2</v>
      </c>
      <c r="R85">
        <v>8283</v>
      </c>
      <c r="S85" s="33">
        <v>114062136</v>
      </c>
    </row>
    <row r="86" spans="16:19" x14ac:dyDescent="0.25">
      <c r="P86" s="32">
        <v>4</v>
      </c>
      <c r="Q86">
        <v>259.60000000000002</v>
      </c>
      <c r="R86">
        <v>8283</v>
      </c>
      <c r="S86" s="33">
        <v>104544982</v>
      </c>
    </row>
    <row r="87" spans="16:19" x14ac:dyDescent="0.25">
      <c r="P87" s="32">
        <v>4</v>
      </c>
      <c r="Q87">
        <v>258</v>
      </c>
      <c r="R87">
        <v>8283</v>
      </c>
      <c r="S87" s="33">
        <v>101642770</v>
      </c>
    </row>
    <row r="88" spans="16:19" x14ac:dyDescent="0.25">
      <c r="P88" s="32">
        <v>4</v>
      </c>
      <c r="Q88">
        <v>252</v>
      </c>
      <c r="R88">
        <v>9084</v>
      </c>
      <c r="S88" s="33">
        <v>124194410</v>
      </c>
    </row>
    <row r="89" spans="16:19" x14ac:dyDescent="0.25">
      <c r="P89" s="32">
        <v>4</v>
      </c>
      <c r="Q89">
        <v>244</v>
      </c>
      <c r="R89">
        <v>8283</v>
      </c>
      <c r="S89" s="33">
        <v>123653057</v>
      </c>
    </row>
    <row r="90" spans="16:19" x14ac:dyDescent="0.25">
      <c r="P90" s="32">
        <v>4</v>
      </c>
      <c r="Q90">
        <v>244</v>
      </c>
      <c r="R90">
        <v>8283</v>
      </c>
      <c r="S90" s="33">
        <v>123662725</v>
      </c>
    </row>
    <row r="91" spans="16:19" x14ac:dyDescent="0.25">
      <c r="P91" s="32">
        <v>4</v>
      </c>
      <c r="Q91">
        <v>231.2</v>
      </c>
      <c r="R91">
        <v>8283</v>
      </c>
      <c r="S91" s="33">
        <v>110532187</v>
      </c>
    </row>
    <row r="92" spans="16:19" x14ac:dyDescent="0.25">
      <c r="P92" s="32">
        <v>4</v>
      </c>
      <c r="Q92">
        <v>223.2</v>
      </c>
      <c r="R92">
        <v>8283</v>
      </c>
      <c r="S92" s="33">
        <v>117969843</v>
      </c>
    </row>
    <row r="93" spans="16:19" x14ac:dyDescent="0.25">
      <c r="P93" s="32">
        <v>4</v>
      </c>
      <c r="Q93">
        <v>220</v>
      </c>
      <c r="R93">
        <v>8283</v>
      </c>
      <c r="S93" s="33">
        <v>103389395</v>
      </c>
    </row>
    <row r="94" spans="16:19" x14ac:dyDescent="0.25">
      <c r="P94" s="32">
        <v>4</v>
      </c>
      <c r="Q94">
        <v>205.6</v>
      </c>
      <c r="R94">
        <v>9084</v>
      </c>
      <c r="S94" s="33">
        <v>124026205</v>
      </c>
    </row>
    <row r="95" spans="16:19" x14ac:dyDescent="0.25">
      <c r="P95" s="32">
        <v>4</v>
      </c>
      <c r="Q95">
        <v>203.2</v>
      </c>
      <c r="R95">
        <v>8283</v>
      </c>
      <c r="S95" s="33">
        <v>100104788</v>
      </c>
    </row>
    <row r="96" spans="16:19" x14ac:dyDescent="0.25">
      <c r="P96" s="32">
        <v>4</v>
      </c>
      <c r="Q96">
        <v>200</v>
      </c>
      <c r="R96">
        <v>8283</v>
      </c>
      <c r="S96" s="33">
        <v>123675359</v>
      </c>
    </row>
    <row r="97" spans="16:19" x14ac:dyDescent="0.25">
      <c r="P97" s="32">
        <v>4</v>
      </c>
      <c r="Q97">
        <v>200</v>
      </c>
      <c r="R97">
        <v>9084</v>
      </c>
      <c r="S97" s="33">
        <v>116377685</v>
      </c>
    </row>
    <row r="98" spans="16:19" x14ac:dyDescent="0.25">
      <c r="P98" s="32">
        <v>4</v>
      </c>
      <c r="Q98">
        <v>198</v>
      </c>
      <c r="R98">
        <v>9084</v>
      </c>
      <c r="S98" s="33">
        <v>122222279</v>
      </c>
    </row>
    <row r="99" spans="16:19" x14ac:dyDescent="0.25">
      <c r="P99" s="32">
        <v>4</v>
      </c>
      <c r="Q99">
        <v>195.6</v>
      </c>
      <c r="R99">
        <v>8283</v>
      </c>
      <c r="S99" s="33">
        <v>105420729</v>
      </c>
    </row>
    <row r="100" spans="16:19" x14ac:dyDescent="0.25">
      <c r="P100" s="32">
        <v>4</v>
      </c>
      <c r="Q100">
        <v>192</v>
      </c>
      <c r="R100">
        <v>8052</v>
      </c>
      <c r="S100" s="33">
        <v>54514779</v>
      </c>
    </row>
    <row r="101" spans="16:19" x14ac:dyDescent="0.25">
      <c r="P101" s="32">
        <v>4</v>
      </c>
      <c r="Q101">
        <v>191.84</v>
      </c>
      <c r="R101">
        <v>8283</v>
      </c>
      <c r="S101" s="33">
        <v>119625530</v>
      </c>
    </row>
    <row r="102" spans="16:19" x14ac:dyDescent="0.25">
      <c r="P102" s="32">
        <v>4</v>
      </c>
      <c r="Q102">
        <v>191.2</v>
      </c>
      <c r="R102">
        <v>8283</v>
      </c>
      <c r="S102" s="33">
        <v>104950707</v>
      </c>
    </row>
    <row r="103" spans="16:19" x14ac:dyDescent="0.25">
      <c r="P103" s="32">
        <v>4</v>
      </c>
      <c r="Q103">
        <v>183.6</v>
      </c>
      <c r="R103">
        <v>8283</v>
      </c>
      <c r="S103" s="33">
        <v>123356249</v>
      </c>
    </row>
    <row r="104" spans="16:19" x14ac:dyDescent="0.25">
      <c r="P104" s="32">
        <v>4</v>
      </c>
      <c r="Q104">
        <v>182</v>
      </c>
      <c r="R104">
        <v>8052</v>
      </c>
      <c r="S104" s="33">
        <v>55538867</v>
      </c>
    </row>
    <row r="105" spans="16:19" x14ac:dyDescent="0.25">
      <c r="P105" s="32">
        <v>4</v>
      </c>
      <c r="Q105">
        <v>179.6</v>
      </c>
      <c r="R105">
        <v>8283</v>
      </c>
      <c r="S105" s="33">
        <v>103545092</v>
      </c>
    </row>
    <row r="106" spans="16:19" x14ac:dyDescent="0.25">
      <c r="P106" s="32">
        <v>4</v>
      </c>
      <c r="Q106">
        <v>179.6</v>
      </c>
      <c r="R106">
        <v>8283</v>
      </c>
      <c r="S106" s="33">
        <v>119636391</v>
      </c>
    </row>
    <row r="107" spans="16:19" x14ac:dyDescent="0.25">
      <c r="P107" s="32">
        <v>4</v>
      </c>
      <c r="Q107">
        <v>160</v>
      </c>
      <c r="R107">
        <v>8283</v>
      </c>
      <c r="S107" s="33">
        <v>130769599</v>
      </c>
    </row>
    <row r="108" spans="16:19" x14ac:dyDescent="0.25">
      <c r="P108" s="32">
        <v>4</v>
      </c>
      <c r="Q108">
        <v>151.6</v>
      </c>
      <c r="R108">
        <v>8283</v>
      </c>
      <c r="S108" s="33">
        <v>106176980</v>
      </c>
    </row>
    <row r="109" spans="16:19" x14ac:dyDescent="0.25">
      <c r="P109" s="32">
        <v>4</v>
      </c>
      <c r="Q109">
        <v>141.6</v>
      </c>
      <c r="R109">
        <v>8283</v>
      </c>
      <c r="S109" s="33">
        <v>131992105</v>
      </c>
    </row>
    <row r="110" spans="16:19" x14ac:dyDescent="0.25">
      <c r="P110" s="32">
        <v>4</v>
      </c>
      <c r="Q110">
        <v>140</v>
      </c>
      <c r="R110">
        <v>9084</v>
      </c>
      <c r="S110" s="33">
        <v>123696734</v>
      </c>
    </row>
    <row r="111" spans="16:19" x14ac:dyDescent="0.25">
      <c r="P111" s="32">
        <v>4</v>
      </c>
      <c r="Q111">
        <v>140</v>
      </c>
      <c r="R111">
        <v>9084</v>
      </c>
      <c r="S111" s="33">
        <v>110566957</v>
      </c>
    </row>
    <row r="112" spans="16:19" x14ac:dyDescent="0.25">
      <c r="P112" s="32">
        <v>4</v>
      </c>
      <c r="Q112">
        <v>132</v>
      </c>
      <c r="R112">
        <v>8283</v>
      </c>
      <c r="S112" s="33">
        <v>119669826</v>
      </c>
    </row>
    <row r="113" spans="16:19" x14ac:dyDescent="0.25">
      <c r="P113" s="32">
        <v>4</v>
      </c>
      <c r="Q113">
        <v>131.6</v>
      </c>
      <c r="R113">
        <v>8283</v>
      </c>
      <c r="S113" s="33">
        <v>120466595</v>
      </c>
    </row>
    <row r="114" spans="16:19" x14ac:dyDescent="0.25">
      <c r="P114" s="32">
        <v>4</v>
      </c>
      <c r="Q114">
        <v>130</v>
      </c>
      <c r="R114">
        <v>8320</v>
      </c>
      <c r="S114" s="33">
        <v>57132831</v>
      </c>
    </row>
    <row r="115" spans="16:19" x14ac:dyDescent="0.25">
      <c r="P115" s="32">
        <v>4</v>
      </c>
      <c r="Q115">
        <v>128</v>
      </c>
      <c r="R115">
        <v>9084</v>
      </c>
      <c r="S115" s="33">
        <v>124794741</v>
      </c>
    </row>
    <row r="116" spans="16:19" x14ac:dyDescent="0.25">
      <c r="P116" s="32">
        <v>4</v>
      </c>
      <c r="Q116">
        <v>124</v>
      </c>
      <c r="R116">
        <v>9084</v>
      </c>
      <c r="S116" s="33">
        <v>123461142</v>
      </c>
    </row>
    <row r="117" spans="16:19" x14ac:dyDescent="0.25">
      <c r="P117" s="32">
        <v>4</v>
      </c>
      <c r="Q117">
        <v>120</v>
      </c>
      <c r="R117">
        <v>8283</v>
      </c>
      <c r="S117" s="33">
        <v>104783782</v>
      </c>
    </row>
    <row r="118" spans="16:19" x14ac:dyDescent="0.25">
      <c r="P118" s="32">
        <v>4</v>
      </c>
      <c r="Q118">
        <v>119.6</v>
      </c>
      <c r="R118">
        <v>8283</v>
      </c>
      <c r="S118" s="33">
        <v>118089431</v>
      </c>
    </row>
    <row r="119" spans="16:19" x14ac:dyDescent="0.25">
      <c r="P119" s="32">
        <v>4</v>
      </c>
      <c r="Q119">
        <v>118</v>
      </c>
      <c r="R119">
        <v>8283</v>
      </c>
      <c r="S119" s="33">
        <v>104772073</v>
      </c>
    </row>
    <row r="120" spans="16:19" x14ac:dyDescent="0.25">
      <c r="P120" s="32">
        <v>4</v>
      </c>
      <c r="Q120">
        <v>111.6</v>
      </c>
      <c r="R120">
        <v>8283</v>
      </c>
      <c r="S120" s="33">
        <v>101477760</v>
      </c>
    </row>
    <row r="121" spans="16:19" x14ac:dyDescent="0.25">
      <c r="P121" s="32">
        <v>4</v>
      </c>
      <c r="Q121">
        <v>109.6</v>
      </c>
      <c r="R121">
        <v>8104</v>
      </c>
      <c r="S121" s="33">
        <v>55550051</v>
      </c>
    </row>
    <row r="122" spans="16:19" x14ac:dyDescent="0.25">
      <c r="P122" s="32">
        <v>4</v>
      </c>
      <c r="Q122">
        <v>108</v>
      </c>
      <c r="R122">
        <v>8052</v>
      </c>
      <c r="S122" s="33">
        <v>55055516</v>
      </c>
    </row>
    <row r="123" spans="16:19" x14ac:dyDescent="0.25">
      <c r="P123" s="32">
        <v>4</v>
      </c>
      <c r="Q123">
        <v>104</v>
      </c>
      <c r="R123">
        <v>9084</v>
      </c>
      <c r="S123" s="33">
        <v>105099405</v>
      </c>
    </row>
    <row r="124" spans="16:19" x14ac:dyDescent="0.25">
      <c r="P124" s="32">
        <v>4</v>
      </c>
      <c r="Q124">
        <v>103.6</v>
      </c>
      <c r="R124">
        <v>8283</v>
      </c>
      <c r="S124" s="33">
        <v>125095705</v>
      </c>
    </row>
    <row r="125" spans="16:19" x14ac:dyDescent="0.25">
      <c r="P125" s="32">
        <v>4</v>
      </c>
      <c r="Q125">
        <v>103.6</v>
      </c>
      <c r="R125">
        <v>8283</v>
      </c>
      <c r="S125" s="33">
        <v>102252719</v>
      </c>
    </row>
    <row r="126" spans="16:19" x14ac:dyDescent="0.25">
      <c r="P126" s="32">
        <v>4</v>
      </c>
      <c r="Q126">
        <v>103.6</v>
      </c>
      <c r="R126">
        <v>8283</v>
      </c>
      <c r="S126" s="33">
        <v>135046575</v>
      </c>
    </row>
    <row r="127" spans="16:19" x14ac:dyDescent="0.25">
      <c r="P127" s="32">
        <v>4</v>
      </c>
      <c r="Q127">
        <v>103.6</v>
      </c>
      <c r="R127">
        <v>8283</v>
      </c>
      <c r="S127" s="33">
        <v>116358838</v>
      </c>
    </row>
    <row r="128" spans="16:19" x14ac:dyDescent="0.25">
      <c r="P128" s="32">
        <v>4</v>
      </c>
      <c r="Q128">
        <v>100</v>
      </c>
      <c r="R128">
        <v>8052</v>
      </c>
      <c r="S128" s="33">
        <v>55451477</v>
      </c>
    </row>
    <row r="129" spans="16:19" x14ac:dyDescent="0.25">
      <c r="P129" s="32">
        <v>4</v>
      </c>
      <c r="Q129">
        <v>100</v>
      </c>
      <c r="R129">
        <v>8283</v>
      </c>
      <c r="S129" s="33">
        <v>113202268</v>
      </c>
    </row>
    <row r="130" spans="16:19" x14ac:dyDescent="0.25">
      <c r="P130" s="32">
        <v>4</v>
      </c>
      <c r="Q130">
        <v>100</v>
      </c>
      <c r="R130">
        <v>8283</v>
      </c>
      <c r="S130" s="33">
        <v>115110150</v>
      </c>
    </row>
    <row r="131" spans="16:19" x14ac:dyDescent="0.25">
      <c r="P131" s="32">
        <v>4</v>
      </c>
      <c r="Q131">
        <v>100</v>
      </c>
      <c r="R131">
        <v>8283</v>
      </c>
      <c r="S131" s="33">
        <v>131009869</v>
      </c>
    </row>
    <row r="132" spans="16:19" x14ac:dyDescent="0.25">
      <c r="P132" s="32">
        <v>4</v>
      </c>
      <c r="Q132">
        <v>100</v>
      </c>
      <c r="R132">
        <v>8283</v>
      </c>
      <c r="S132" s="33">
        <v>125505041</v>
      </c>
    </row>
    <row r="133" spans="16:19" x14ac:dyDescent="0.25">
      <c r="P133" s="32">
        <v>4</v>
      </c>
      <c r="Q133">
        <v>100</v>
      </c>
      <c r="R133">
        <v>8283</v>
      </c>
      <c r="S133" s="33">
        <v>132654580</v>
      </c>
    </row>
    <row r="134" spans="16:19" x14ac:dyDescent="0.25">
      <c r="P134" s="32">
        <v>4</v>
      </c>
      <c r="Q134">
        <v>95.92</v>
      </c>
      <c r="R134">
        <v>8283</v>
      </c>
      <c r="S134" s="33">
        <v>99185322</v>
      </c>
    </row>
    <row r="135" spans="16:19" x14ac:dyDescent="0.25">
      <c r="P135" s="32">
        <v>4</v>
      </c>
      <c r="Q135">
        <v>95.6</v>
      </c>
      <c r="R135">
        <v>8283</v>
      </c>
      <c r="S135" s="33">
        <v>105097596</v>
      </c>
    </row>
    <row r="136" spans="16:19" x14ac:dyDescent="0.25">
      <c r="P136" s="32">
        <v>4</v>
      </c>
      <c r="Q136">
        <v>95.6</v>
      </c>
      <c r="R136">
        <v>8283</v>
      </c>
      <c r="S136" s="33">
        <v>131953033</v>
      </c>
    </row>
    <row r="137" spans="16:19" x14ac:dyDescent="0.25">
      <c r="P137" s="32">
        <v>4</v>
      </c>
      <c r="Q137">
        <v>94.4</v>
      </c>
      <c r="R137">
        <v>8283</v>
      </c>
      <c r="S137" s="33">
        <v>112726804</v>
      </c>
    </row>
    <row r="138" spans="16:19" x14ac:dyDescent="0.25">
      <c r="P138" s="32">
        <v>4</v>
      </c>
      <c r="Q138">
        <v>91.6</v>
      </c>
      <c r="R138">
        <v>8283</v>
      </c>
      <c r="S138" s="33">
        <v>100592607</v>
      </c>
    </row>
    <row r="139" spans="16:19" x14ac:dyDescent="0.25">
      <c r="P139" s="32">
        <v>4</v>
      </c>
      <c r="Q139">
        <v>91.2</v>
      </c>
      <c r="R139">
        <v>8283</v>
      </c>
      <c r="S139" s="33">
        <v>99496857</v>
      </c>
    </row>
    <row r="140" spans="16:19" x14ac:dyDescent="0.25">
      <c r="P140" s="32">
        <v>4</v>
      </c>
      <c r="Q140">
        <v>87.6</v>
      </c>
      <c r="R140">
        <v>8283</v>
      </c>
      <c r="S140" s="33">
        <v>120834710</v>
      </c>
    </row>
    <row r="141" spans="16:19" x14ac:dyDescent="0.25">
      <c r="P141" s="32">
        <v>4</v>
      </c>
      <c r="Q141">
        <v>87.6</v>
      </c>
      <c r="R141">
        <v>8283</v>
      </c>
      <c r="S141" s="33">
        <v>128741742</v>
      </c>
    </row>
    <row r="142" spans="16:19" x14ac:dyDescent="0.25">
      <c r="P142" s="32">
        <v>4</v>
      </c>
      <c r="Q142">
        <v>84</v>
      </c>
      <c r="R142">
        <v>9084</v>
      </c>
      <c r="S142" s="33">
        <v>101903942</v>
      </c>
    </row>
    <row r="143" spans="16:19" x14ac:dyDescent="0.25">
      <c r="P143" s="32">
        <v>4</v>
      </c>
      <c r="Q143">
        <v>80</v>
      </c>
      <c r="R143">
        <v>8283</v>
      </c>
      <c r="S143" s="33">
        <v>112859840</v>
      </c>
    </row>
    <row r="144" spans="16:19" x14ac:dyDescent="0.25">
      <c r="P144" s="32">
        <v>4</v>
      </c>
      <c r="Q144">
        <v>79.599999999999994</v>
      </c>
      <c r="R144">
        <v>8283</v>
      </c>
      <c r="S144" s="33">
        <v>104562694</v>
      </c>
    </row>
    <row r="145" spans="16:19" x14ac:dyDescent="0.25">
      <c r="P145" s="32">
        <v>4</v>
      </c>
      <c r="Q145">
        <v>79.599999999999994</v>
      </c>
      <c r="R145">
        <v>8283</v>
      </c>
      <c r="S145" s="33">
        <v>105791653</v>
      </c>
    </row>
    <row r="146" spans="16:19" x14ac:dyDescent="0.25">
      <c r="P146" s="32">
        <v>4</v>
      </c>
      <c r="Q146">
        <v>79.2</v>
      </c>
      <c r="R146">
        <v>8283</v>
      </c>
      <c r="S146" s="33">
        <v>107882205</v>
      </c>
    </row>
    <row r="147" spans="16:19" x14ac:dyDescent="0.25">
      <c r="P147" s="32">
        <v>4</v>
      </c>
      <c r="Q147">
        <v>76</v>
      </c>
      <c r="R147">
        <v>9084</v>
      </c>
      <c r="S147" s="33">
        <v>99701005</v>
      </c>
    </row>
    <row r="148" spans="16:19" x14ac:dyDescent="0.25">
      <c r="P148" s="32">
        <v>4</v>
      </c>
      <c r="Q148">
        <v>75.599999999999994</v>
      </c>
      <c r="R148">
        <v>8283</v>
      </c>
      <c r="S148" s="33">
        <v>106990466</v>
      </c>
    </row>
    <row r="149" spans="16:19" x14ac:dyDescent="0.25">
      <c r="P149" s="32">
        <v>4</v>
      </c>
      <c r="Q149">
        <v>70.8</v>
      </c>
      <c r="R149">
        <v>8283</v>
      </c>
      <c r="S149" s="33">
        <v>118322774</v>
      </c>
    </row>
    <row r="150" spans="16:19" x14ac:dyDescent="0.25">
      <c r="P150" s="32">
        <v>4</v>
      </c>
      <c r="Q150">
        <v>70.8</v>
      </c>
      <c r="R150">
        <v>8283</v>
      </c>
      <c r="S150" s="33">
        <v>112359124</v>
      </c>
    </row>
    <row r="151" spans="16:19" x14ac:dyDescent="0.25">
      <c r="P151" s="32">
        <v>4</v>
      </c>
      <c r="Q151">
        <v>64</v>
      </c>
      <c r="R151">
        <v>8283</v>
      </c>
      <c r="S151" s="33">
        <v>108162473</v>
      </c>
    </row>
    <row r="152" spans="16:19" x14ac:dyDescent="0.25">
      <c r="P152" s="32">
        <v>4</v>
      </c>
      <c r="Q152">
        <v>58.8</v>
      </c>
      <c r="R152">
        <v>8320</v>
      </c>
      <c r="S152" s="33">
        <v>54680033</v>
      </c>
    </row>
    <row r="153" spans="16:19" x14ac:dyDescent="0.25">
      <c r="P153" s="32">
        <v>4</v>
      </c>
      <c r="Q153">
        <v>55.2</v>
      </c>
      <c r="R153">
        <v>8283</v>
      </c>
      <c r="S153" s="33">
        <v>131463382</v>
      </c>
    </row>
    <row r="154" spans="16:19" x14ac:dyDescent="0.25">
      <c r="P154" s="32">
        <v>4</v>
      </c>
      <c r="Q154">
        <v>54</v>
      </c>
      <c r="R154">
        <v>1796</v>
      </c>
      <c r="S154" s="33">
        <v>92105213</v>
      </c>
    </row>
    <row r="155" spans="16:19" x14ac:dyDescent="0.25">
      <c r="P155" s="32">
        <v>4</v>
      </c>
      <c r="Q155">
        <v>54</v>
      </c>
      <c r="R155">
        <v>1796</v>
      </c>
      <c r="S155" s="33">
        <v>92114634</v>
      </c>
    </row>
    <row r="156" spans="16:19" x14ac:dyDescent="0.25">
      <c r="P156" s="32">
        <v>4</v>
      </c>
      <c r="Q156">
        <v>54</v>
      </c>
      <c r="R156">
        <v>1796</v>
      </c>
      <c r="S156" s="33">
        <v>92124631</v>
      </c>
    </row>
    <row r="157" spans="16:19" x14ac:dyDescent="0.25">
      <c r="P157" s="32">
        <v>4</v>
      </c>
      <c r="Q157">
        <v>52</v>
      </c>
      <c r="R157">
        <v>9084</v>
      </c>
      <c r="S157" s="33">
        <v>118294642</v>
      </c>
    </row>
    <row r="158" spans="16:19" x14ac:dyDescent="0.25">
      <c r="P158" s="32">
        <v>4</v>
      </c>
      <c r="Q158">
        <v>52</v>
      </c>
      <c r="R158">
        <v>9084</v>
      </c>
      <c r="S158" s="33">
        <v>123575994</v>
      </c>
    </row>
    <row r="159" spans="16:19" x14ac:dyDescent="0.25">
      <c r="P159" s="32">
        <v>4</v>
      </c>
      <c r="Q159">
        <v>51.6</v>
      </c>
      <c r="R159">
        <v>8283</v>
      </c>
      <c r="S159" s="33">
        <v>102448491</v>
      </c>
    </row>
    <row r="160" spans="16:19" x14ac:dyDescent="0.25">
      <c r="P160" s="32">
        <v>4</v>
      </c>
      <c r="Q160">
        <v>51.6</v>
      </c>
      <c r="R160">
        <v>8283</v>
      </c>
      <c r="S160" s="33">
        <v>106994508</v>
      </c>
    </row>
    <row r="161" spans="16:19" x14ac:dyDescent="0.25">
      <c r="P161" s="32">
        <v>4</v>
      </c>
      <c r="Q161">
        <v>50</v>
      </c>
      <c r="R161">
        <v>8320</v>
      </c>
      <c r="S161" s="33">
        <v>54642312</v>
      </c>
    </row>
    <row r="162" spans="16:19" x14ac:dyDescent="0.25">
      <c r="P162" s="32">
        <v>4</v>
      </c>
      <c r="Q162">
        <v>50</v>
      </c>
      <c r="R162">
        <v>1796</v>
      </c>
      <c r="S162" s="33">
        <v>91906878</v>
      </c>
    </row>
    <row r="163" spans="16:19" x14ac:dyDescent="0.25">
      <c r="P163" s="32">
        <v>4</v>
      </c>
      <c r="Q163">
        <v>48</v>
      </c>
      <c r="R163">
        <v>9084</v>
      </c>
      <c r="S163" s="33">
        <v>101455224</v>
      </c>
    </row>
    <row r="164" spans="16:19" x14ac:dyDescent="0.25">
      <c r="P164" s="32">
        <v>4</v>
      </c>
      <c r="Q164">
        <v>48</v>
      </c>
      <c r="R164">
        <v>8283</v>
      </c>
      <c r="S164" s="33">
        <v>127291591</v>
      </c>
    </row>
    <row r="165" spans="16:19" x14ac:dyDescent="0.25">
      <c r="P165" s="32">
        <v>4</v>
      </c>
      <c r="Q165">
        <v>48</v>
      </c>
      <c r="R165">
        <v>8283</v>
      </c>
      <c r="S165" s="33">
        <v>106638785</v>
      </c>
    </row>
    <row r="166" spans="16:19" x14ac:dyDescent="0.25">
      <c r="P166" s="32">
        <v>4</v>
      </c>
      <c r="Q166">
        <v>47.96</v>
      </c>
      <c r="R166">
        <v>8283</v>
      </c>
      <c r="S166" s="33">
        <v>131797820</v>
      </c>
    </row>
    <row r="167" spans="16:19" x14ac:dyDescent="0.25">
      <c r="P167" s="32">
        <v>4</v>
      </c>
      <c r="Q167">
        <v>47.2</v>
      </c>
      <c r="R167">
        <v>8283</v>
      </c>
      <c r="S167" s="33">
        <v>123365554</v>
      </c>
    </row>
    <row r="168" spans="16:19" x14ac:dyDescent="0.25">
      <c r="P168" s="32">
        <v>4</v>
      </c>
      <c r="Q168">
        <v>47.2</v>
      </c>
      <c r="R168">
        <v>8283</v>
      </c>
      <c r="S168" s="33">
        <v>114608526</v>
      </c>
    </row>
    <row r="169" spans="16:19" x14ac:dyDescent="0.25">
      <c r="P169" s="32">
        <v>4</v>
      </c>
      <c r="Q169">
        <v>47.2</v>
      </c>
      <c r="R169">
        <v>8283</v>
      </c>
      <c r="S169" s="33">
        <v>112724880</v>
      </c>
    </row>
    <row r="170" spans="16:19" x14ac:dyDescent="0.25">
      <c r="P170" s="32">
        <v>4</v>
      </c>
      <c r="Q170">
        <v>47.2</v>
      </c>
      <c r="R170">
        <v>8283</v>
      </c>
      <c r="S170" s="33">
        <v>101536318</v>
      </c>
    </row>
    <row r="171" spans="16:19" x14ac:dyDescent="0.25">
      <c r="P171" s="32">
        <v>4</v>
      </c>
      <c r="Q171">
        <v>44</v>
      </c>
      <c r="R171">
        <v>8283</v>
      </c>
      <c r="S171" s="33">
        <v>110647368</v>
      </c>
    </row>
    <row r="172" spans="16:19" x14ac:dyDescent="0.25">
      <c r="P172" s="32">
        <v>4</v>
      </c>
      <c r="Q172">
        <v>44</v>
      </c>
      <c r="R172">
        <v>1796</v>
      </c>
      <c r="S172" s="33">
        <v>92080041</v>
      </c>
    </row>
    <row r="173" spans="16:19" x14ac:dyDescent="0.25">
      <c r="P173" s="32">
        <v>4</v>
      </c>
      <c r="Q173">
        <v>44</v>
      </c>
      <c r="R173">
        <v>9084</v>
      </c>
      <c r="S173" s="33">
        <v>97429406</v>
      </c>
    </row>
    <row r="174" spans="16:19" x14ac:dyDescent="0.25">
      <c r="P174" s="32">
        <v>4</v>
      </c>
      <c r="Q174">
        <v>42</v>
      </c>
      <c r="R174">
        <v>1796</v>
      </c>
      <c r="S174" s="33">
        <v>91931088</v>
      </c>
    </row>
    <row r="175" spans="16:19" x14ac:dyDescent="0.25">
      <c r="P175" s="32">
        <v>4</v>
      </c>
      <c r="Q175">
        <v>42</v>
      </c>
      <c r="R175">
        <v>1796</v>
      </c>
      <c r="S175" s="33">
        <v>91925977</v>
      </c>
    </row>
    <row r="176" spans="16:19" x14ac:dyDescent="0.25">
      <c r="P176" s="32">
        <v>4</v>
      </c>
      <c r="Q176">
        <v>40</v>
      </c>
      <c r="R176">
        <v>9084</v>
      </c>
      <c r="S176" s="33">
        <v>116659563</v>
      </c>
    </row>
    <row r="177" spans="16:19" x14ac:dyDescent="0.25">
      <c r="P177" s="32">
        <v>4</v>
      </c>
      <c r="Q177">
        <v>40</v>
      </c>
      <c r="R177">
        <v>8283</v>
      </c>
      <c r="S177" s="33">
        <v>125562539</v>
      </c>
    </row>
    <row r="178" spans="16:19" x14ac:dyDescent="0.25">
      <c r="P178" s="32">
        <v>4</v>
      </c>
      <c r="Q178">
        <v>40</v>
      </c>
      <c r="R178">
        <v>8283</v>
      </c>
      <c r="S178" s="33">
        <v>130444515</v>
      </c>
    </row>
    <row r="179" spans="16:19" x14ac:dyDescent="0.25">
      <c r="P179" s="32">
        <v>4</v>
      </c>
      <c r="Q179">
        <v>38</v>
      </c>
      <c r="R179">
        <v>1796</v>
      </c>
      <c r="S179" s="33">
        <v>91729555</v>
      </c>
    </row>
    <row r="180" spans="16:19" x14ac:dyDescent="0.25">
      <c r="P180" s="32">
        <v>4</v>
      </c>
      <c r="Q180">
        <v>38</v>
      </c>
      <c r="R180">
        <v>1796</v>
      </c>
      <c r="S180" s="33">
        <v>91907374</v>
      </c>
    </row>
    <row r="181" spans="16:19" x14ac:dyDescent="0.25">
      <c r="P181" s="32">
        <v>4</v>
      </c>
      <c r="Q181">
        <v>36</v>
      </c>
      <c r="R181">
        <v>9084</v>
      </c>
      <c r="S181" s="33">
        <v>101573951</v>
      </c>
    </row>
    <row r="182" spans="16:19" x14ac:dyDescent="0.25">
      <c r="P182" s="32">
        <v>4</v>
      </c>
      <c r="Q182">
        <v>34</v>
      </c>
      <c r="R182">
        <v>1796</v>
      </c>
      <c r="S182" s="33">
        <v>92106833</v>
      </c>
    </row>
    <row r="183" spans="16:19" x14ac:dyDescent="0.25">
      <c r="P183" s="32">
        <v>4</v>
      </c>
      <c r="Q183">
        <v>32</v>
      </c>
      <c r="R183">
        <v>9084</v>
      </c>
      <c r="S183" s="33">
        <v>108215848</v>
      </c>
    </row>
    <row r="184" spans="16:19" x14ac:dyDescent="0.25">
      <c r="P184" s="32">
        <v>4</v>
      </c>
      <c r="Q184">
        <v>32</v>
      </c>
      <c r="R184">
        <v>9084</v>
      </c>
      <c r="S184" s="33">
        <v>118901692</v>
      </c>
    </row>
    <row r="185" spans="16:19" x14ac:dyDescent="0.25">
      <c r="P185" s="32">
        <v>4</v>
      </c>
      <c r="Q185">
        <v>26</v>
      </c>
      <c r="R185">
        <v>1796</v>
      </c>
      <c r="S185" s="33">
        <v>91782743</v>
      </c>
    </row>
    <row r="186" spans="16:19" x14ac:dyDescent="0.25">
      <c r="P186" s="32">
        <v>4</v>
      </c>
      <c r="Q186">
        <v>23.6</v>
      </c>
      <c r="R186">
        <v>8283</v>
      </c>
      <c r="S186" s="33">
        <v>118378144</v>
      </c>
    </row>
    <row r="187" spans="16:19" x14ac:dyDescent="0.25">
      <c r="P187" s="32">
        <v>4</v>
      </c>
      <c r="Q187">
        <v>23.6</v>
      </c>
      <c r="R187">
        <v>8283</v>
      </c>
      <c r="S187" s="33">
        <v>121959481</v>
      </c>
    </row>
    <row r="188" spans="16:19" x14ac:dyDescent="0.25">
      <c r="P188" s="32">
        <v>4</v>
      </c>
      <c r="Q188">
        <v>20</v>
      </c>
      <c r="R188">
        <v>8283</v>
      </c>
      <c r="S188" s="33">
        <v>122157048</v>
      </c>
    </row>
    <row r="189" spans="16:19" x14ac:dyDescent="0.25">
      <c r="P189" s="32">
        <v>4</v>
      </c>
      <c r="Q189">
        <v>20</v>
      </c>
      <c r="R189">
        <v>8283</v>
      </c>
      <c r="S189" s="33">
        <v>119148136</v>
      </c>
    </row>
    <row r="190" spans="16:19" x14ac:dyDescent="0.25">
      <c r="P190" s="32">
        <v>4</v>
      </c>
      <c r="Q190">
        <v>12</v>
      </c>
      <c r="R190">
        <v>8283</v>
      </c>
      <c r="S190" s="33">
        <v>106942253</v>
      </c>
    </row>
    <row r="191" spans="16:19" x14ac:dyDescent="0.25">
      <c r="P191" s="32">
        <v>6</v>
      </c>
      <c r="Q191">
        <v>99.3</v>
      </c>
      <c r="R191">
        <v>8104</v>
      </c>
      <c r="S191" s="33">
        <v>57146776</v>
      </c>
    </row>
    <row r="192" spans="16:19" x14ac:dyDescent="0.25">
      <c r="P192" s="32">
        <v>7</v>
      </c>
      <c r="Q192">
        <v>220.7</v>
      </c>
      <c r="R192">
        <v>8320</v>
      </c>
      <c r="S192" s="33">
        <v>56030563</v>
      </c>
    </row>
    <row r="193" spans="16:19" x14ac:dyDescent="0.25">
      <c r="P193" s="32">
        <v>7</v>
      </c>
      <c r="Q193">
        <v>118.3</v>
      </c>
      <c r="R193">
        <v>8104</v>
      </c>
      <c r="S193" s="33">
        <v>55550015</v>
      </c>
    </row>
    <row r="194" spans="16:19" ht="15.75" thickBot="1" x14ac:dyDescent="0.3">
      <c r="P194" s="34">
        <v>7</v>
      </c>
      <c r="Q194" s="35">
        <v>66.8</v>
      </c>
      <c r="R194" s="35">
        <v>8052</v>
      </c>
      <c r="S194" s="36">
        <v>54398637</v>
      </c>
    </row>
  </sheetData>
  <conditionalFormatting sqref="K35:K42">
    <cfRule type="cellIs" dxfId="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8777-CF27-48A4-B8B5-5AB6B8E616FA}">
  <dimension ref="B3:M52"/>
  <sheetViews>
    <sheetView workbookViewId="0">
      <selection activeCell="J3" sqref="J3"/>
    </sheetView>
  </sheetViews>
  <sheetFormatPr defaultColWidth="9.140625" defaultRowHeight="15" x14ac:dyDescent="0.25"/>
  <cols>
    <col min="2" max="2" width="11" bestFit="1" customWidth="1"/>
    <col min="3" max="3" width="12.140625" bestFit="1" customWidth="1"/>
    <col min="4" max="7" width="5.5703125" customWidth="1"/>
    <col min="10" max="10" width="9.42578125" bestFit="1" customWidth="1"/>
    <col min="12" max="12" width="6.42578125" customWidth="1"/>
    <col min="13" max="13" width="5" customWidth="1"/>
    <col min="15" max="15" width="9.42578125" bestFit="1" customWidth="1"/>
  </cols>
  <sheetData>
    <row r="3" spans="2:13" ht="18" thickBot="1" x14ac:dyDescent="0.35">
      <c r="J3" s="37" t="s">
        <v>573</v>
      </c>
      <c r="K3" s="37"/>
      <c r="L3" s="37"/>
      <c r="M3" s="37"/>
    </row>
    <row r="4" spans="2:13" ht="15.75" thickTop="1" x14ac:dyDescent="0.25">
      <c r="B4" t="s">
        <v>460</v>
      </c>
      <c r="C4" t="s">
        <v>461</v>
      </c>
      <c r="D4" t="s">
        <v>462</v>
      </c>
      <c r="E4" t="s">
        <v>463</v>
      </c>
      <c r="F4" t="s">
        <v>464</v>
      </c>
      <c r="G4" t="s">
        <v>465</v>
      </c>
      <c r="J4" t="str" cm="1">
        <f t="array" ref="J4:M52">_xlfn._xlws.PY(36,0,Table1[#All])</f>
        <v>Training</v>
      </c>
      <c r="K4" t="str">
        <v>Level</v>
      </c>
      <c r="L4" t="str">
        <v>Q</v>
      </c>
      <c r="M4" t="str">
        <v>NB</v>
      </c>
    </row>
    <row r="5" spans="2:13" x14ac:dyDescent="0.25">
      <c r="B5" t="s">
        <v>466</v>
      </c>
      <c r="C5" t="s">
        <v>467</v>
      </c>
      <c r="D5">
        <v>1</v>
      </c>
      <c r="E5">
        <v>2</v>
      </c>
      <c r="F5">
        <v>2</v>
      </c>
      <c r="G5">
        <v>3</v>
      </c>
      <c r="J5" t="str">
        <v>Excel</v>
      </c>
      <c r="K5" t="str">
        <v>Base</v>
      </c>
      <c r="L5" t="str">
        <v>Q1</v>
      </c>
      <c r="M5">
        <v>1</v>
      </c>
    </row>
    <row r="6" spans="2:13" x14ac:dyDescent="0.25">
      <c r="B6" t="s">
        <v>468</v>
      </c>
      <c r="C6" t="s">
        <v>467</v>
      </c>
      <c r="D6">
        <v>1</v>
      </c>
      <c r="E6">
        <v>0</v>
      </c>
      <c r="F6">
        <v>0</v>
      </c>
      <c r="G6">
        <v>1</v>
      </c>
      <c r="J6" t="str">
        <v>Power BI</v>
      </c>
      <c r="K6" t="str">
        <v>Base</v>
      </c>
      <c r="L6" t="str">
        <v>Q1</v>
      </c>
      <c r="M6">
        <v>1</v>
      </c>
    </row>
    <row r="7" spans="2:13" x14ac:dyDescent="0.25">
      <c r="B7" t="s">
        <v>469</v>
      </c>
      <c r="C7" t="s">
        <v>467</v>
      </c>
      <c r="D7">
        <v>1</v>
      </c>
      <c r="E7">
        <v>1</v>
      </c>
      <c r="F7">
        <v>1</v>
      </c>
      <c r="G7">
        <v>1</v>
      </c>
      <c r="J7" t="str">
        <v>Powerpoint</v>
      </c>
      <c r="K7" t="str">
        <v>Base</v>
      </c>
      <c r="L7" t="str">
        <v>Q1</v>
      </c>
      <c r="M7">
        <v>1</v>
      </c>
    </row>
    <row r="8" spans="2:13" x14ac:dyDescent="0.25">
      <c r="B8" t="s">
        <v>470</v>
      </c>
      <c r="C8" t="s">
        <v>467</v>
      </c>
      <c r="D8">
        <v>0</v>
      </c>
      <c r="E8">
        <v>1</v>
      </c>
      <c r="F8">
        <v>2</v>
      </c>
      <c r="G8">
        <v>1</v>
      </c>
      <c r="J8" t="str">
        <v>Sharepoint</v>
      </c>
      <c r="K8" t="str">
        <v>Base</v>
      </c>
      <c r="L8" t="str">
        <v>Q1</v>
      </c>
      <c r="M8">
        <v>0</v>
      </c>
    </row>
    <row r="9" spans="2:13" x14ac:dyDescent="0.25">
      <c r="B9" t="s">
        <v>471</v>
      </c>
      <c r="C9" t="s">
        <v>472</v>
      </c>
      <c r="D9">
        <v>0</v>
      </c>
      <c r="E9">
        <v>0</v>
      </c>
      <c r="F9">
        <v>1</v>
      </c>
      <c r="G9">
        <v>1</v>
      </c>
      <c r="J9" t="str">
        <v>VBA</v>
      </c>
      <c r="K9" t="str">
        <v>Intermediate</v>
      </c>
      <c r="L9" t="str">
        <v>Q1</v>
      </c>
      <c r="M9">
        <v>0</v>
      </c>
    </row>
    <row r="10" spans="2:13" x14ac:dyDescent="0.25">
      <c r="B10" t="s">
        <v>466</v>
      </c>
      <c r="C10" t="s">
        <v>472</v>
      </c>
      <c r="D10">
        <v>2</v>
      </c>
      <c r="E10">
        <v>3</v>
      </c>
      <c r="F10">
        <v>3</v>
      </c>
      <c r="G10">
        <v>4</v>
      </c>
      <c r="J10" t="str">
        <v>Excel</v>
      </c>
      <c r="K10" t="str">
        <v>Intermediate</v>
      </c>
      <c r="L10" t="str">
        <v>Q1</v>
      </c>
      <c r="M10">
        <v>2</v>
      </c>
    </row>
    <row r="11" spans="2:13" x14ac:dyDescent="0.25">
      <c r="B11" t="s">
        <v>466</v>
      </c>
      <c r="C11" t="s">
        <v>473</v>
      </c>
      <c r="D11">
        <v>1</v>
      </c>
      <c r="E11">
        <v>1</v>
      </c>
      <c r="F11">
        <v>2</v>
      </c>
      <c r="G11">
        <v>2</v>
      </c>
      <c r="J11" t="str">
        <v>Excel</v>
      </c>
      <c r="K11" t="str">
        <v>Advanced</v>
      </c>
      <c r="L11" t="str">
        <v>Q1</v>
      </c>
      <c r="M11">
        <v>1</v>
      </c>
    </row>
    <row r="12" spans="2:13" x14ac:dyDescent="0.25">
      <c r="B12" t="s">
        <v>468</v>
      </c>
      <c r="C12" t="s">
        <v>472</v>
      </c>
      <c r="D12">
        <v>3</v>
      </c>
      <c r="E12">
        <v>2</v>
      </c>
      <c r="F12">
        <v>3</v>
      </c>
      <c r="G12">
        <v>1</v>
      </c>
      <c r="J12" t="str">
        <v>Power BI</v>
      </c>
      <c r="K12" t="str">
        <v>Intermediate</v>
      </c>
      <c r="L12" t="str">
        <v>Q1</v>
      </c>
      <c r="M12">
        <v>3</v>
      </c>
    </row>
    <row r="13" spans="2:13" x14ac:dyDescent="0.25">
      <c r="B13" t="s">
        <v>468</v>
      </c>
      <c r="C13" t="s">
        <v>473</v>
      </c>
      <c r="D13">
        <v>1</v>
      </c>
      <c r="E13">
        <v>2</v>
      </c>
      <c r="F13">
        <v>1</v>
      </c>
      <c r="G13">
        <v>2</v>
      </c>
      <c r="J13" t="str">
        <v>Power BI</v>
      </c>
      <c r="K13" t="str">
        <v>Advanced</v>
      </c>
      <c r="L13" t="str">
        <v>Q1</v>
      </c>
      <c r="M13">
        <v>1</v>
      </c>
    </row>
    <row r="14" spans="2:13" x14ac:dyDescent="0.25">
      <c r="B14" t="s">
        <v>469</v>
      </c>
      <c r="C14" t="s">
        <v>472</v>
      </c>
      <c r="D14">
        <v>2</v>
      </c>
      <c r="E14">
        <v>1</v>
      </c>
      <c r="F14">
        <v>0</v>
      </c>
      <c r="G14">
        <v>2</v>
      </c>
      <c r="J14" t="str">
        <v>Powerpoint</v>
      </c>
      <c r="K14" t="str">
        <v>Intermediate</v>
      </c>
      <c r="L14" t="str">
        <v>Q1</v>
      </c>
      <c r="M14">
        <v>2</v>
      </c>
    </row>
    <row r="15" spans="2:13" x14ac:dyDescent="0.25">
      <c r="B15" t="s">
        <v>470</v>
      </c>
      <c r="C15" t="s">
        <v>474</v>
      </c>
      <c r="D15">
        <v>1</v>
      </c>
      <c r="E15">
        <v>0</v>
      </c>
      <c r="F15">
        <v>1</v>
      </c>
      <c r="G15">
        <v>0</v>
      </c>
      <c r="J15" t="str">
        <v>Sharepoint</v>
      </c>
      <c r="K15" t="str">
        <v>Admin</v>
      </c>
      <c r="L15" t="str">
        <v>Q1</v>
      </c>
      <c r="M15">
        <v>1</v>
      </c>
    </row>
    <row r="16" spans="2:13" x14ac:dyDescent="0.25">
      <c r="B16" t="s">
        <v>466</v>
      </c>
      <c r="C16" t="s">
        <v>475</v>
      </c>
      <c r="D16">
        <v>2</v>
      </c>
      <c r="E16">
        <v>1</v>
      </c>
      <c r="F16">
        <v>0</v>
      </c>
      <c r="G16">
        <v>3</v>
      </c>
      <c r="J16" t="str">
        <v>Excel</v>
      </c>
      <c r="K16" t="str">
        <v>Expert</v>
      </c>
      <c r="L16" t="str">
        <v>Q1</v>
      </c>
      <c r="M16">
        <v>2</v>
      </c>
    </row>
    <row r="17" spans="10:13" x14ac:dyDescent="0.25">
      <c r="J17" t="str">
        <v>Excel</v>
      </c>
      <c r="K17" t="str">
        <v>Base</v>
      </c>
      <c r="L17" t="str">
        <v>Q2</v>
      </c>
      <c r="M17">
        <v>2</v>
      </c>
    </row>
    <row r="18" spans="10:13" x14ac:dyDescent="0.25">
      <c r="J18" t="str">
        <v>Power BI</v>
      </c>
      <c r="K18" t="str">
        <v>Base</v>
      </c>
      <c r="L18" t="str">
        <v>Q2</v>
      </c>
      <c r="M18">
        <v>0</v>
      </c>
    </row>
    <row r="19" spans="10:13" x14ac:dyDescent="0.25">
      <c r="J19" t="str">
        <v>Powerpoint</v>
      </c>
      <c r="K19" t="str">
        <v>Base</v>
      </c>
      <c r="L19" t="str">
        <v>Q2</v>
      </c>
      <c r="M19">
        <v>1</v>
      </c>
    </row>
    <row r="20" spans="10:13" x14ac:dyDescent="0.25">
      <c r="J20" t="str">
        <v>Sharepoint</v>
      </c>
      <c r="K20" t="str">
        <v>Base</v>
      </c>
      <c r="L20" t="str">
        <v>Q2</v>
      </c>
      <c r="M20">
        <v>1</v>
      </c>
    </row>
    <row r="21" spans="10:13" x14ac:dyDescent="0.25">
      <c r="J21" t="str">
        <v>VBA</v>
      </c>
      <c r="K21" t="str">
        <v>Intermediate</v>
      </c>
      <c r="L21" t="str">
        <v>Q2</v>
      </c>
      <c r="M21">
        <v>0</v>
      </c>
    </row>
    <row r="22" spans="10:13" x14ac:dyDescent="0.25">
      <c r="J22" t="str">
        <v>Excel</v>
      </c>
      <c r="K22" t="str">
        <v>Intermediate</v>
      </c>
      <c r="L22" t="str">
        <v>Q2</v>
      </c>
      <c r="M22">
        <v>3</v>
      </c>
    </row>
    <row r="23" spans="10:13" x14ac:dyDescent="0.25">
      <c r="J23" t="str">
        <v>Excel</v>
      </c>
      <c r="K23" t="str">
        <v>Advanced</v>
      </c>
      <c r="L23" t="str">
        <v>Q2</v>
      </c>
      <c r="M23">
        <v>1</v>
      </c>
    </row>
    <row r="24" spans="10:13" x14ac:dyDescent="0.25">
      <c r="J24" t="str">
        <v>Power BI</v>
      </c>
      <c r="K24" t="str">
        <v>Intermediate</v>
      </c>
      <c r="L24" t="str">
        <v>Q2</v>
      </c>
      <c r="M24">
        <v>2</v>
      </c>
    </row>
    <row r="25" spans="10:13" x14ac:dyDescent="0.25">
      <c r="J25" t="str">
        <v>Power BI</v>
      </c>
      <c r="K25" t="str">
        <v>Advanced</v>
      </c>
      <c r="L25" t="str">
        <v>Q2</v>
      </c>
      <c r="M25">
        <v>2</v>
      </c>
    </row>
    <row r="26" spans="10:13" x14ac:dyDescent="0.25">
      <c r="J26" t="str">
        <v>Powerpoint</v>
      </c>
      <c r="K26" t="str">
        <v>Intermediate</v>
      </c>
      <c r="L26" t="str">
        <v>Q2</v>
      </c>
      <c r="M26">
        <v>1</v>
      </c>
    </row>
    <row r="27" spans="10:13" x14ac:dyDescent="0.25">
      <c r="J27" t="str">
        <v>Sharepoint</v>
      </c>
      <c r="K27" t="str">
        <v>Admin</v>
      </c>
      <c r="L27" t="str">
        <v>Q2</v>
      </c>
      <c r="M27">
        <v>0</v>
      </c>
    </row>
    <row r="28" spans="10:13" x14ac:dyDescent="0.25">
      <c r="J28" t="str">
        <v>Excel</v>
      </c>
      <c r="K28" t="str">
        <v>Expert</v>
      </c>
      <c r="L28" t="str">
        <v>Q2</v>
      </c>
      <c r="M28">
        <v>1</v>
      </c>
    </row>
    <row r="29" spans="10:13" x14ac:dyDescent="0.25">
      <c r="J29" t="str">
        <v>Excel</v>
      </c>
      <c r="K29" t="str">
        <v>Base</v>
      </c>
      <c r="L29" t="str">
        <v>Q3</v>
      </c>
      <c r="M29">
        <v>2</v>
      </c>
    </row>
    <row r="30" spans="10:13" x14ac:dyDescent="0.25">
      <c r="J30" t="str">
        <v>Power BI</v>
      </c>
      <c r="K30" t="str">
        <v>Base</v>
      </c>
      <c r="L30" t="str">
        <v>Q3</v>
      </c>
      <c r="M30">
        <v>0</v>
      </c>
    </row>
    <row r="31" spans="10:13" x14ac:dyDescent="0.25">
      <c r="J31" t="str">
        <v>Powerpoint</v>
      </c>
      <c r="K31" t="str">
        <v>Base</v>
      </c>
      <c r="L31" t="str">
        <v>Q3</v>
      </c>
      <c r="M31">
        <v>1</v>
      </c>
    </row>
    <row r="32" spans="10:13" x14ac:dyDescent="0.25">
      <c r="J32" t="str">
        <v>Sharepoint</v>
      </c>
      <c r="K32" t="str">
        <v>Base</v>
      </c>
      <c r="L32" t="str">
        <v>Q3</v>
      </c>
      <c r="M32">
        <v>2</v>
      </c>
    </row>
    <row r="33" spans="10:13" x14ac:dyDescent="0.25">
      <c r="J33" t="str">
        <v>VBA</v>
      </c>
      <c r="K33" t="str">
        <v>Intermediate</v>
      </c>
      <c r="L33" t="str">
        <v>Q3</v>
      </c>
      <c r="M33">
        <v>1</v>
      </c>
    </row>
    <row r="34" spans="10:13" x14ac:dyDescent="0.25">
      <c r="J34" t="str">
        <v>Excel</v>
      </c>
      <c r="K34" t="str">
        <v>Intermediate</v>
      </c>
      <c r="L34" t="str">
        <v>Q3</v>
      </c>
      <c r="M34">
        <v>3</v>
      </c>
    </row>
    <row r="35" spans="10:13" x14ac:dyDescent="0.25">
      <c r="J35" t="str">
        <v>Excel</v>
      </c>
      <c r="K35" t="str">
        <v>Advanced</v>
      </c>
      <c r="L35" t="str">
        <v>Q3</v>
      </c>
      <c r="M35">
        <v>2</v>
      </c>
    </row>
    <row r="36" spans="10:13" x14ac:dyDescent="0.25">
      <c r="J36" t="str">
        <v>Power BI</v>
      </c>
      <c r="K36" t="str">
        <v>Intermediate</v>
      </c>
      <c r="L36" t="str">
        <v>Q3</v>
      </c>
      <c r="M36">
        <v>3</v>
      </c>
    </row>
    <row r="37" spans="10:13" x14ac:dyDescent="0.25">
      <c r="J37" t="str">
        <v>Power BI</v>
      </c>
      <c r="K37" t="str">
        <v>Advanced</v>
      </c>
      <c r="L37" t="str">
        <v>Q3</v>
      </c>
      <c r="M37">
        <v>1</v>
      </c>
    </row>
    <row r="38" spans="10:13" x14ac:dyDescent="0.25">
      <c r="J38" t="str">
        <v>Powerpoint</v>
      </c>
      <c r="K38" t="str">
        <v>Intermediate</v>
      </c>
      <c r="L38" t="str">
        <v>Q3</v>
      </c>
      <c r="M38">
        <v>0</v>
      </c>
    </row>
    <row r="39" spans="10:13" x14ac:dyDescent="0.25">
      <c r="J39" t="str">
        <v>Sharepoint</v>
      </c>
      <c r="K39" t="str">
        <v>Admin</v>
      </c>
      <c r="L39" t="str">
        <v>Q3</v>
      </c>
      <c r="M39">
        <v>1</v>
      </c>
    </row>
    <row r="40" spans="10:13" x14ac:dyDescent="0.25">
      <c r="J40" t="str">
        <v>Excel</v>
      </c>
      <c r="K40" t="str">
        <v>Expert</v>
      </c>
      <c r="L40" t="str">
        <v>Q3</v>
      </c>
      <c r="M40">
        <v>0</v>
      </c>
    </row>
    <row r="41" spans="10:13" x14ac:dyDescent="0.25">
      <c r="J41" t="str">
        <v>Excel</v>
      </c>
      <c r="K41" t="str">
        <v>Base</v>
      </c>
      <c r="L41" t="str">
        <v>Q4</v>
      </c>
      <c r="M41">
        <v>3</v>
      </c>
    </row>
    <row r="42" spans="10:13" x14ac:dyDescent="0.25">
      <c r="J42" t="str">
        <v>Power BI</v>
      </c>
      <c r="K42" t="str">
        <v>Base</v>
      </c>
      <c r="L42" t="str">
        <v>Q4</v>
      </c>
      <c r="M42">
        <v>1</v>
      </c>
    </row>
    <row r="43" spans="10:13" x14ac:dyDescent="0.25">
      <c r="J43" t="str">
        <v>Powerpoint</v>
      </c>
      <c r="K43" t="str">
        <v>Base</v>
      </c>
      <c r="L43" t="str">
        <v>Q4</v>
      </c>
      <c r="M43">
        <v>1</v>
      </c>
    </row>
    <row r="44" spans="10:13" x14ac:dyDescent="0.25">
      <c r="J44" t="str">
        <v>Sharepoint</v>
      </c>
      <c r="K44" t="str">
        <v>Base</v>
      </c>
      <c r="L44" t="str">
        <v>Q4</v>
      </c>
      <c r="M44">
        <v>1</v>
      </c>
    </row>
    <row r="45" spans="10:13" x14ac:dyDescent="0.25">
      <c r="J45" t="str">
        <v>VBA</v>
      </c>
      <c r="K45" t="str">
        <v>Intermediate</v>
      </c>
      <c r="L45" t="str">
        <v>Q4</v>
      </c>
      <c r="M45">
        <v>1</v>
      </c>
    </row>
    <row r="46" spans="10:13" x14ac:dyDescent="0.25">
      <c r="J46" t="str">
        <v>Excel</v>
      </c>
      <c r="K46" t="str">
        <v>Intermediate</v>
      </c>
      <c r="L46" t="str">
        <v>Q4</v>
      </c>
      <c r="M46">
        <v>4</v>
      </c>
    </row>
    <row r="47" spans="10:13" x14ac:dyDescent="0.25">
      <c r="J47" t="str">
        <v>Excel</v>
      </c>
      <c r="K47" t="str">
        <v>Advanced</v>
      </c>
      <c r="L47" t="str">
        <v>Q4</v>
      </c>
      <c r="M47">
        <v>2</v>
      </c>
    </row>
    <row r="48" spans="10:13" x14ac:dyDescent="0.25">
      <c r="J48" t="str">
        <v>Power BI</v>
      </c>
      <c r="K48" t="str">
        <v>Intermediate</v>
      </c>
      <c r="L48" t="str">
        <v>Q4</v>
      </c>
      <c r="M48">
        <v>1</v>
      </c>
    </row>
    <row r="49" spans="10:13" x14ac:dyDescent="0.25">
      <c r="J49" t="str">
        <v>Power BI</v>
      </c>
      <c r="K49" t="str">
        <v>Advanced</v>
      </c>
      <c r="L49" t="str">
        <v>Q4</v>
      </c>
      <c r="M49">
        <v>2</v>
      </c>
    </row>
    <row r="50" spans="10:13" x14ac:dyDescent="0.25">
      <c r="J50" t="str">
        <v>Powerpoint</v>
      </c>
      <c r="K50" t="str">
        <v>Intermediate</v>
      </c>
      <c r="L50" t="str">
        <v>Q4</v>
      </c>
      <c r="M50">
        <v>2</v>
      </c>
    </row>
    <row r="51" spans="10:13" x14ac:dyDescent="0.25">
      <c r="J51" t="str">
        <v>Sharepoint</v>
      </c>
      <c r="K51" t="str">
        <v>Admin</v>
      </c>
      <c r="L51" t="str">
        <v>Q4</v>
      </c>
      <c r="M51">
        <v>0</v>
      </c>
    </row>
    <row r="52" spans="10:13" x14ac:dyDescent="0.25">
      <c r="J52" t="str">
        <v>Excel</v>
      </c>
      <c r="K52" t="str">
        <v>Expert</v>
      </c>
      <c r="L52" t="str">
        <v>Q4</v>
      </c>
      <c r="M52">
        <v>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6DFF-EC27-48F8-8B6B-CCB3129D7800}">
  <sheetPr>
    <tabColor theme="8" tint="0.79998168889431442"/>
  </sheetPr>
  <dimension ref="A1:Y14"/>
  <sheetViews>
    <sheetView topLeftCell="B18" workbookViewId="0">
      <selection activeCell="D7" sqref="D7"/>
    </sheetView>
  </sheetViews>
  <sheetFormatPr defaultColWidth="11.5703125" defaultRowHeight="15" x14ac:dyDescent="0.25"/>
  <cols>
    <col min="2" max="2" width="8" bestFit="1" customWidth="1"/>
    <col min="3" max="3" width="16.85546875" bestFit="1" customWidth="1"/>
    <col min="4" max="4" width="10" bestFit="1" customWidth="1"/>
  </cols>
  <sheetData>
    <row r="1" spans="1:25" ht="19.5" thickBot="1" x14ac:dyDescent="0.35">
      <c r="A1" t="str" cm="1" vm="28">
        <f t="array" ref="A1">_xlfn._xlws.PY(37,1,A5:D14)</f>
        <v>CREATION DU DATAFRAME</v>
      </c>
      <c r="C1" s="25" t="s">
        <v>451</v>
      </c>
      <c r="O1" s="37"/>
      <c r="P1" s="37"/>
      <c r="Q1" s="37"/>
      <c r="R1" s="37"/>
      <c r="S1" s="37"/>
      <c r="T1" s="37"/>
      <c r="U1" s="37"/>
      <c r="V1" s="37"/>
      <c r="W1" s="37"/>
      <c r="X1" s="37"/>
      <c r="Y1" s="37"/>
    </row>
    <row r="2" spans="1:25" ht="18.75" thickTop="1" thickBot="1" x14ac:dyDescent="0.35">
      <c r="N2" s="37"/>
      <c r="O2" s="37"/>
      <c r="P2" s="37"/>
      <c r="Q2" s="37"/>
      <c r="R2" s="37"/>
      <c r="S2" s="37"/>
      <c r="T2" s="37"/>
      <c r="U2" s="37"/>
      <c r="V2" s="37"/>
      <c r="W2" s="37"/>
      <c r="X2" s="37"/>
      <c r="Y2" s="37"/>
    </row>
    <row r="3" spans="1:25" ht="18.75" thickTop="1" thickBot="1" x14ac:dyDescent="0.35">
      <c r="F3" s="37" t="s">
        <v>575</v>
      </c>
      <c r="G3" s="37"/>
      <c r="H3" s="37"/>
      <c r="I3" s="37"/>
      <c r="J3" s="37"/>
      <c r="K3" s="37"/>
      <c r="N3" s="37" t="s">
        <v>576</v>
      </c>
      <c r="O3" s="37"/>
      <c r="P3" s="37"/>
      <c r="Q3" s="37"/>
      <c r="R3" s="37"/>
      <c r="S3" s="37"/>
      <c r="T3" s="37"/>
      <c r="U3" s="37"/>
      <c r="V3" s="37"/>
      <c r="W3" s="37"/>
      <c r="X3" s="37"/>
      <c r="Y3" s="37"/>
    </row>
    <row r="4" spans="1:25" ht="15.75" thickTop="1" x14ac:dyDescent="0.25">
      <c r="A4" s="7" t="s">
        <v>123</v>
      </c>
      <c r="B4" s="7" t="s">
        <v>2</v>
      </c>
      <c r="C4" s="7" t="s">
        <v>491</v>
      </c>
      <c r="D4" s="7" t="s">
        <v>122</v>
      </c>
      <c r="F4" t="e" cm="1" vm="29">
        <f t="array" ref="F4">_xlfn._xlws.PY(38,0)</f>
        <v>#VALUE!</v>
      </c>
    </row>
    <row r="5" spans="1:25" x14ac:dyDescent="0.25">
      <c r="A5">
        <v>1</v>
      </c>
      <c r="B5">
        <v>8052</v>
      </c>
      <c r="C5" s="19">
        <v>327758.84999999945</v>
      </c>
      <c r="D5">
        <v>4906</v>
      </c>
    </row>
    <row r="6" spans="1:25" x14ac:dyDescent="0.25">
      <c r="A6">
        <v>2</v>
      </c>
      <c r="B6">
        <v>8347</v>
      </c>
      <c r="C6" s="19">
        <v>235450</v>
      </c>
      <c r="D6">
        <v>3412</v>
      </c>
    </row>
    <row r="7" spans="1:25" x14ac:dyDescent="0.25">
      <c r="A7">
        <v>3</v>
      </c>
      <c r="B7">
        <v>8283</v>
      </c>
      <c r="C7" s="19">
        <v>369822.82000000397</v>
      </c>
      <c r="D7">
        <v>10023</v>
      </c>
    </row>
    <row r="8" spans="1:25" x14ac:dyDescent="0.25">
      <c r="A8">
        <v>4</v>
      </c>
      <c r="B8">
        <v>9084</v>
      </c>
      <c r="C8" s="19">
        <v>479019.74999999971</v>
      </c>
      <c r="D8">
        <v>7804</v>
      </c>
    </row>
    <row r="9" spans="1:25" x14ac:dyDescent="0.25">
      <c r="A9">
        <v>5</v>
      </c>
      <c r="B9">
        <v>4337</v>
      </c>
      <c r="C9" s="19">
        <v>865357.89000022365</v>
      </c>
      <c r="D9">
        <v>20003</v>
      </c>
    </row>
    <row r="10" spans="1:25" x14ac:dyDescent="0.25">
      <c r="A10">
        <v>6</v>
      </c>
      <c r="B10">
        <v>360</v>
      </c>
      <c r="C10" s="19">
        <v>387089.13999999972</v>
      </c>
      <c r="D10">
        <v>4383</v>
      </c>
    </row>
    <row r="11" spans="1:25" x14ac:dyDescent="0.25">
      <c r="A11">
        <v>7</v>
      </c>
      <c r="B11">
        <v>1796</v>
      </c>
      <c r="C11" s="19">
        <v>321099.69000003388</v>
      </c>
      <c r="D11">
        <v>27349</v>
      </c>
    </row>
    <row r="12" spans="1:25" x14ac:dyDescent="0.25">
      <c r="A12">
        <v>8</v>
      </c>
      <c r="B12">
        <v>7965</v>
      </c>
      <c r="C12" s="19">
        <v>1138690.9499999981</v>
      </c>
      <c r="D12">
        <v>9091</v>
      </c>
      <c r="M12" t="e" cm="1" vm="30">
        <f t="array" ref="M12">_xlfn._xlws.PY(39,1)</f>
        <v>#VALUE!</v>
      </c>
    </row>
    <row r="13" spans="1:25" x14ac:dyDescent="0.25">
      <c r="A13">
        <v>9</v>
      </c>
      <c r="B13">
        <v>6293</v>
      </c>
      <c r="C13" s="19">
        <v>359471</v>
      </c>
      <c r="D13">
        <v>16103</v>
      </c>
    </row>
    <row r="14" spans="1:25" x14ac:dyDescent="0.25">
      <c r="A14">
        <v>10</v>
      </c>
      <c r="B14">
        <v>4542</v>
      </c>
      <c r="C14" s="19">
        <v>243728.68999999994</v>
      </c>
      <c r="D14">
        <v>17641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0C69-4B92-4643-A847-CBB0B62EF360}">
  <sheetPr>
    <tabColor theme="8" tint="0.79998168889431442"/>
  </sheetPr>
  <dimension ref="B1:H39"/>
  <sheetViews>
    <sheetView workbookViewId="0">
      <selection activeCell="B5" sqref="B5"/>
    </sheetView>
  </sheetViews>
  <sheetFormatPr defaultColWidth="11.5703125" defaultRowHeight="15" x14ac:dyDescent="0.25"/>
  <sheetData>
    <row r="1" spans="2:8" ht="18.75" x14ac:dyDescent="0.3">
      <c r="B1" s="24" t="s">
        <v>450</v>
      </c>
    </row>
    <row r="5" spans="2:8" x14ac:dyDescent="0.25">
      <c r="B5" s="20" t="e" cm="1" vm="31">
        <f t="array" ref="B5">_xlfn._xlws.PY(40,0)</f>
        <v>#VALUE!</v>
      </c>
      <c r="H5" t="e" cm="1" vm="32">
        <f t="array" ref="H5">_xlfn._xlws.PY(41,0)</f>
        <v>#VALUE!</v>
      </c>
    </row>
    <row r="31" spans="2:3" x14ac:dyDescent="0.25">
      <c r="B31" t="s">
        <v>495</v>
      </c>
      <c r="C31" cm="1">
        <f t="array" ref="C31:C32">_xlfn._xlws.PY(42,0)</f>
        <v>472749</v>
      </c>
    </row>
    <row r="32" spans="2:3" x14ac:dyDescent="0.25">
      <c r="B32" t="s">
        <v>574</v>
      </c>
      <c r="C32">
        <v>364647</v>
      </c>
    </row>
    <row r="39" spans="2:2" x14ac:dyDescent="0.25">
      <c r="B39" s="21" t="e" cm="1" vm="33">
        <f t="array" ref="B39">_xlfn._xlws.PY(43,0)</f>
        <v>#VALUE!</v>
      </c>
    </row>
  </sheetData>
  <hyperlinks>
    <hyperlink ref="B1" r:id="rId1" xr:uid="{6FC482C9-A21E-4539-B8DB-00F358D9A314}"/>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759E-43C2-4FE6-BCDB-04C93B1811FF}">
  <sheetPr>
    <tabColor theme="8" tint="0.79998168889431442"/>
  </sheetPr>
  <dimension ref="A6"/>
  <sheetViews>
    <sheetView topLeftCell="A16" zoomScale="99" zoomScaleNormal="99" workbookViewId="0">
      <selection activeCell="A6" sqref="A6"/>
    </sheetView>
  </sheetViews>
  <sheetFormatPr defaultColWidth="11.5703125" defaultRowHeight="15" x14ac:dyDescent="0.25"/>
  <sheetData>
    <row r="6" spans="1:1" x14ac:dyDescent="0.25">
      <c r="A6" t="e" cm="1" vm="34">
        <f t="array" ref="A6">_xlfn._xlws.PY(44,0)</f>
        <v>#VALUE!</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3580-0DA2-458F-A99B-DF8F9EBBCBAD}">
  <sheetPr>
    <tabColor theme="8" tint="0.79998168889431442"/>
  </sheetPr>
  <dimension ref="A2:R7"/>
  <sheetViews>
    <sheetView topLeftCell="A6" workbookViewId="0">
      <selection activeCell="A3" sqref="A3"/>
    </sheetView>
  </sheetViews>
  <sheetFormatPr defaultColWidth="11.5703125" defaultRowHeight="15" x14ac:dyDescent="0.25"/>
  <cols>
    <col min="8" max="8" width="11.42578125" style="44"/>
    <col min="15" max="15" width="11.42578125" style="44"/>
  </cols>
  <sheetData>
    <row r="2" spans="1:18" ht="20.25" thickBot="1" x14ac:dyDescent="0.35">
      <c r="A2" s="8" t="s">
        <v>447</v>
      </c>
      <c r="H2" s="41" t="s">
        <v>448</v>
      </c>
      <c r="O2" s="41" t="s">
        <v>449</v>
      </c>
    </row>
    <row r="3" spans="1:18" ht="15.75" thickTop="1" x14ac:dyDescent="0.25">
      <c r="A3" s="21" t="e" cm="1" vm="35">
        <f t="array" ref="A3">_xlfn._xlws.PY(45,0)</f>
        <v>#VALUE!</v>
      </c>
      <c r="H3" s="42" t="e" cm="1" vm="36">
        <f t="array" ref="H3">_xlfn._xlws.PY(46,0)</f>
        <v>#VALUE!</v>
      </c>
      <c r="O3" s="44" t="e" cm="1" vm="37">
        <f t="array" ref="O3">_xlfn._xlws.PY(47,0)</f>
        <v>#VALUE!</v>
      </c>
    </row>
    <row r="6" spans="1:18" ht="18" thickBot="1" x14ac:dyDescent="0.35">
      <c r="A6" s="37" t="s">
        <v>578</v>
      </c>
      <c r="B6" s="37"/>
      <c r="C6" s="37"/>
      <c r="D6" s="37"/>
      <c r="E6" s="37"/>
      <c r="F6" s="37"/>
      <c r="G6" s="37"/>
      <c r="H6" s="43" t="s">
        <v>577</v>
      </c>
      <c r="I6" s="37"/>
      <c r="J6" s="37"/>
      <c r="K6" s="37"/>
      <c r="L6" s="37"/>
      <c r="M6" s="37"/>
      <c r="N6" s="37"/>
      <c r="O6" s="43" t="s">
        <v>493</v>
      </c>
      <c r="P6" s="37"/>
      <c r="Q6" s="37"/>
      <c r="R6" s="37"/>
    </row>
    <row r="7" spans="1:18" ht="15.75" thickTop="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05E73-D950-4C7F-A47A-B68053D0EED0}">
  <sheetPr>
    <tabColor theme="8" tint="0.79998168889431442"/>
  </sheetPr>
  <dimension ref="A3:B6"/>
  <sheetViews>
    <sheetView topLeftCell="A10" workbookViewId="0">
      <selection activeCell="C37" sqref="C37"/>
    </sheetView>
  </sheetViews>
  <sheetFormatPr defaultColWidth="11.5703125" defaultRowHeight="15" x14ac:dyDescent="0.25"/>
  <sheetData>
    <row r="3" spans="1:2" x14ac:dyDescent="0.25">
      <c r="B3" t="s">
        <v>446</v>
      </c>
    </row>
    <row r="6" spans="1:2" x14ac:dyDescent="0.25">
      <c r="A6" t="e" cm="1" vm="38">
        <f t="array" ref="A6">_xlfn._xlws.PY(48,0)</f>
        <v>#VALUE!</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CBB95-67E8-4E85-8CED-E8D2C59FA5C3}">
  <dimension ref="A1:N84"/>
  <sheetViews>
    <sheetView workbookViewId="0">
      <selection activeCell="A66" sqref="A66"/>
    </sheetView>
  </sheetViews>
  <sheetFormatPr defaultRowHeight="15" x14ac:dyDescent="0.25"/>
  <cols>
    <col min="1" max="1" width="12.85546875" customWidth="1"/>
    <col min="2" max="2" width="14.28515625" customWidth="1"/>
    <col min="3" max="3" width="14.28515625" bestFit="1" customWidth="1"/>
    <col min="4" max="4" width="11.42578125" customWidth="1"/>
    <col min="5" max="5" width="11.7109375" customWidth="1"/>
    <col min="6" max="6" width="8.28515625" bestFit="1" customWidth="1"/>
    <col min="7" max="7" width="12.7109375" bestFit="1" customWidth="1"/>
    <col min="8" max="8" width="8" bestFit="1" customWidth="1"/>
    <col min="9" max="9" width="18.5703125" bestFit="1" customWidth="1"/>
    <col min="10" max="10" width="10" bestFit="1" customWidth="1"/>
    <col min="12" max="12" width="8.42578125" bestFit="1" customWidth="1"/>
    <col min="13" max="13" width="9" bestFit="1" customWidth="1"/>
    <col min="14" max="14" width="8" bestFit="1" customWidth="1"/>
  </cols>
  <sheetData>
    <row r="1" spans="1:14" ht="18" thickBot="1" x14ac:dyDescent="0.35">
      <c r="G1" s="37" t="s">
        <v>592</v>
      </c>
    </row>
    <row r="2" spans="1:14" ht="15.75" thickTop="1" x14ac:dyDescent="0.25">
      <c r="G2" s="64" t="e" cm="1" vm="39">
        <f t="array" ref="G2">_xlfn._xlws.PY(49,1,Table3[#All])</f>
        <v>#VALUE!</v>
      </c>
    </row>
    <row r="4" spans="1:14" ht="18" thickBot="1" x14ac:dyDescent="0.35">
      <c r="G4" s="37" t="s">
        <v>593</v>
      </c>
    </row>
    <row r="5" spans="1:14" ht="15.75" thickTop="1" x14ac:dyDescent="0.25">
      <c r="G5" t="e" cm="1" vm="40">
        <f t="array" ref="G5">_xlfn._xlws.PY(50,1)</f>
        <v>#VALUE!</v>
      </c>
    </row>
    <row r="6" spans="1:14" ht="15.75" thickBot="1" x14ac:dyDescent="0.3">
      <c r="A6" t="s">
        <v>579</v>
      </c>
      <c r="B6" t="s">
        <v>580</v>
      </c>
      <c r="C6" t="s">
        <v>581</v>
      </c>
      <c r="D6" t="s">
        <v>582</v>
      </c>
      <c r="E6" t="s">
        <v>583</v>
      </c>
    </row>
    <row r="7" spans="1:14" ht="17.25" thickBot="1" x14ac:dyDescent="0.3">
      <c r="A7" s="62">
        <v>46023</v>
      </c>
      <c r="B7" s="60" t="s">
        <v>584</v>
      </c>
      <c r="C7" s="60" t="s">
        <v>585</v>
      </c>
      <c r="D7" s="60">
        <v>5</v>
      </c>
      <c r="E7" s="63">
        <v>1200</v>
      </c>
    </row>
    <row r="8" spans="1:14" ht="18" thickBot="1" x14ac:dyDescent="0.35">
      <c r="A8" s="62">
        <v>46024</v>
      </c>
      <c r="B8" s="60" t="s">
        <v>586</v>
      </c>
      <c r="C8" s="60" t="s">
        <v>587</v>
      </c>
      <c r="D8" s="60">
        <v>8</v>
      </c>
      <c r="E8" s="63">
        <v>300</v>
      </c>
      <c r="G8" s="37" t="s">
        <v>594</v>
      </c>
      <c r="L8" s="37" t="s">
        <v>596</v>
      </c>
    </row>
    <row r="9" spans="1:14" ht="17.25" thickBot="1" x14ac:dyDescent="0.3">
      <c r="A9" s="62">
        <v>46024</v>
      </c>
      <c r="B9" s="60" t="s">
        <v>584</v>
      </c>
      <c r="C9" s="60" t="s">
        <v>588</v>
      </c>
      <c r="D9" s="60">
        <v>15</v>
      </c>
      <c r="E9" s="63">
        <v>50</v>
      </c>
      <c r="G9" t="e" cm="1" vm="41">
        <f t="array" ref="G9">_xlfn._xlws.PY(51,1)</f>
        <v>#VALUE!</v>
      </c>
      <c r="H9" t="str" cm="1">
        <f t="array" ref="H9:I13">_FV(G9,"arrayPreview")</f>
        <v>Region</v>
      </c>
      <c r="I9" t="str">
        <v>Revenue</v>
      </c>
      <c r="L9" t="e" cm="1" vm="42">
        <f t="array" ref="L9">_xlfn._xlws.PY(52,1)</f>
        <v>#VALUE!</v>
      </c>
      <c r="M9" t="str" cm="1">
        <f t="array" ref="M9:N13">_FV(L9,"arrayPreview")</f>
        <v>Product</v>
      </c>
      <c r="N9" t="str">
        <v>Revenue</v>
      </c>
    </row>
    <row r="10" spans="1:14" ht="17.25" thickBot="1" x14ac:dyDescent="0.3">
      <c r="A10" s="62">
        <v>46025</v>
      </c>
      <c r="B10" s="60" t="s">
        <v>589</v>
      </c>
      <c r="C10" s="60" t="s">
        <v>585</v>
      </c>
      <c r="D10" s="60">
        <v>3</v>
      </c>
      <c r="E10" s="63">
        <v>1200</v>
      </c>
      <c r="H10" t="str">
        <v>North</v>
      </c>
      <c r="I10">
        <v>16650</v>
      </c>
      <c r="M10" t="str">
        <v>Laptop</v>
      </c>
      <c r="N10">
        <v>22800</v>
      </c>
    </row>
    <row r="11" spans="1:14" ht="17.25" thickBot="1" x14ac:dyDescent="0.3">
      <c r="A11" s="62">
        <v>46026</v>
      </c>
      <c r="B11" s="60" t="s">
        <v>586</v>
      </c>
      <c r="C11" s="60" t="s">
        <v>590</v>
      </c>
      <c r="D11" s="60">
        <v>20</v>
      </c>
      <c r="E11" s="63">
        <v>25</v>
      </c>
      <c r="H11" t="str">
        <v>East</v>
      </c>
      <c r="I11">
        <v>9725</v>
      </c>
      <c r="M11" t="str">
        <v>Monitor</v>
      </c>
      <c r="N11">
        <v>9600</v>
      </c>
    </row>
    <row r="12" spans="1:14" ht="17.25" thickBot="1" x14ac:dyDescent="0.3">
      <c r="A12" s="62">
        <v>46027</v>
      </c>
      <c r="B12" s="60" t="s">
        <v>584</v>
      </c>
      <c r="C12" s="60" t="s">
        <v>587</v>
      </c>
      <c r="D12" s="60">
        <v>6</v>
      </c>
      <c r="E12" s="63">
        <v>300</v>
      </c>
      <c r="H12" t="str">
        <v>West</v>
      </c>
      <c r="I12">
        <v>6550</v>
      </c>
      <c r="M12" t="str">
        <v>Keyboard</v>
      </c>
      <c r="N12">
        <v>2200</v>
      </c>
    </row>
    <row r="13" spans="1:14" ht="17.25" thickBot="1" x14ac:dyDescent="0.3">
      <c r="A13" s="62">
        <v>46028</v>
      </c>
      <c r="B13" s="60" t="s">
        <v>591</v>
      </c>
      <c r="C13" s="60" t="s">
        <v>585</v>
      </c>
      <c r="D13" s="60">
        <v>1</v>
      </c>
      <c r="E13" s="63">
        <v>1200</v>
      </c>
      <c r="H13" t="str">
        <v>South</v>
      </c>
      <c r="I13">
        <v>3500</v>
      </c>
      <c r="M13" t="str">
        <v>Mouse</v>
      </c>
      <c r="N13">
        <v>1825</v>
      </c>
    </row>
    <row r="14" spans="1:14" ht="17.25" thickBot="1" x14ac:dyDescent="0.3">
      <c r="A14" s="62">
        <v>46029</v>
      </c>
      <c r="B14" s="60" t="s">
        <v>589</v>
      </c>
      <c r="C14" s="60" t="s">
        <v>588</v>
      </c>
      <c r="D14" s="60">
        <v>10</v>
      </c>
      <c r="E14" s="63">
        <v>50</v>
      </c>
    </row>
    <row r="15" spans="1:14" ht="17.25" thickBot="1" x14ac:dyDescent="0.3">
      <c r="A15" s="62">
        <v>46030</v>
      </c>
      <c r="B15" s="60" t="s">
        <v>591</v>
      </c>
      <c r="C15" s="60" t="s">
        <v>590</v>
      </c>
      <c r="D15" s="60">
        <v>30</v>
      </c>
      <c r="E15" s="63">
        <v>25</v>
      </c>
    </row>
    <row r="16" spans="1:14" ht="17.25" thickBot="1" x14ac:dyDescent="0.3">
      <c r="A16" s="62">
        <v>46031</v>
      </c>
      <c r="B16" s="60" t="s">
        <v>589</v>
      </c>
      <c r="C16" s="60" t="s">
        <v>587</v>
      </c>
      <c r="D16" s="61">
        <v>7</v>
      </c>
      <c r="E16" s="63">
        <v>300</v>
      </c>
    </row>
    <row r="17" spans="1:12" ht="17.25" thickBot="1" x14ac:dyDescent="0.3">
      <c r="A17" s="62">
        <v>46032</v>
      </c>
      <c r="B17" s="60" t="s">
        <v>586</v>
      </c>
      <c r="C17" s="60" t="s">
        <v>588</v>
      </c>
      <c r="D17" s="61">
        <v>12</v>
      </c>
      <c r="E17" s="63">
        <v>50</v>
      </c>
    </row>
    <row r="18" spans="1:12" ht="18" thickBot="1" x14ac:dyDescent="0.35">
      <c r="A18" s="62">
        <v>46033</v>
      </c>
      <c r="B18" s="60" t="s">
        <v>584</v>
      </c>
      <c r="C18" s="60" t="s">
        <v>585</v>
      </c>
      <c r="D18" s="61">
        <v>4</v>
      </c>
      <c r="E18" s="63">
        <v>1200</v>
      </c>
      <c r="G18" s="37" t="s">
        <v>595</v>
      </c>
      <c r="L18" s="37" t="s">
        <v>597</v>
      </c>
    </row>
    <row r="19" spans="1:12" ht="17.25" thickBot="1" x14ac:dyDescent="0.3">
      <c r="A19" s="62">
        <v>46034</v>
      </c>
      <c r="B19" s="60" t="s">
        <v>591</v>
      </c>
      <c r="C19" s="60" t="s">
        <v>590</v>
      </c>
      <c r="D19" s="61">
        <v>23</v>
      </c>
      <c r="E19" s="63">
        <v>25</v>
      </c>
      <c r="G19" t="e" cm="1" vm="43">
        <f t="array" ref="G19">_xlfn._xlws.PY(53,1)</f>
        <v>#VALUE!</v>
      </c>
      <c r="H19" t="str" cm="1">
        <f t="array" ref="H19:J23">_FV(G19,"arrayPreview")</f>
        <v/>
      </c>
      <c r="I19" t="str">
        <v>Metric</v>
      </c>
      <c r="J19" t="str">
        <v>Value</v>
      </c>
      <c r="L19" t="e" cm="1" vm="44">
        <f t="array" ref="L19">_xlfn._xlws.PY(54,1)</f>
        <v>#VALUE!</v>
      </c>
    </row>
    <row r="20" spans="1:12" ht="17.25" thickBot="1" x14ac:dyDescent="0.3">
      <c r="A20" s="62">
        <v>46035</v>
      </c>
      <c r="B20" s="60" t="s">
        <v>584</v>
      </c>
      <c r="C20" s="60" t="s">
        <v>587</v>
      </c>
      <c r="D20" s="61">
        <v>11</v>
      </c>
      <c r="E20" s="63">
        <v>300</v>
      </c>
      <c r="H20">
        <v>0</v>
      </c>
      <c r="I20" t="str">
        <v>Total Sales</v>
      </c>
      <c r="J20">
        <v>36425</v>
      </c>
    </row>
    <row r="21" spans="1:12" ht="17.25" thickBot="1" x14ac:dyDescent="0.3">
      <c r="A21" s="62">
        <v>46036</v>
      </c>
      <c r="B21" s="60" t="s">
        <v>591</v>
      </c>
      <c r="C21" s="60" t="s">
        <v>585</v>
      </c>
      <c r="D21" s="61">
        <v>6</v>
      </c>
      <c r="E21" s="63">
        <v>1200</v>
      </c>
      <c r="H21">
        <v>1</v>
      </c>
      <c r="I21" t="str">
        <v>Average Transaction</v>
      </c>
      <c r="J21">
        <v>2276.5625</v>
      </c>
    </row>
    <row r="22" spans="1:12" ht="17.25" thickBot="1" x14ac:dyDescent="0.3">
      <c r="A22" s="62">
        <v>46037</v>
      </c>
      <c r="B22" s="60" t="s">
        <v>589</v>
      </c>
      <c r="C22" s="60" t="s">
        <v>588</v>
      </c>
      <c r="D22" s="61">
        <v>7</v>
      </c>
      <c r="E22" s="63">
        <v>50</v>
      </c>
      <c r="H22">
        <v>2</v>
      </c>
      <c r="I22" t="str">
        <v>Highest Transaction</v>
      </c>
      <c r="J22">
        <v>7200</v>
      </c>
    </row>
    <row r="23" spans="1:12" x14ac:dyDescent="0.25">
      <c r="H23">
        <v>3</v>
      </c>
      <c r="I23" t="str">
        <v>Lowest Transaction</v>
      </c>
      <c r="J23">
        <v>350</v>
      </c>
    </row>
    <row r="26" spans="1:12" ht="18" thickBot="1" x14ac:dyDescent="0.35">
      <c r="A26" s="37" t="s">
        <v>598</v>
      </c>
      <c r="B26" s="37"/>
      <c r="C26" s="37"/>
      <c r="D26" s="37"/>
      <c r="E26" s="37"/>
      <c r="F26" s="37"/>
      <c r="G26" s="37"/>
      <c r="H26" s="37"/>
    </row>
    <row r="27" spans="1:12" ht="15.75" thickTop="1" x14ac:dyDescent="0.25">
      <c r="A27" t="e" cm="1" vm="45">
        <f t="array" ref="A27">_xlfn._xlws.PY(55,1)</f>
        <v>#VALUE!</v>
      </c>
      <c r="B27" t="str" cm="1">
        <f t="array" ref="B27:H28">_FV(A27,"arrayPreview")</f>
        <v/>
      </c>
      <c r="C27" t="str">
        <v>Date</v>
      </c>
      <c r="D27" t="str">
        <v>Region</v>
      </c>
      <c r="E27" t="str">
        <v>Product</v>
      </c>
      <c r="F27" t="str">
        <v>Quantity</v>
      </c>
      <c r="G27" t="str">
        <v>UnitPrice</v>
      </c>
      <c r="H27" t="str">
        <v>Revenue</v>
      </c>
    </row>
    <row r="28" spans="1:12" x14ac:dyDescent="0.25">
      <c r="B28">
        <v>14</v>
      </c>
      <c r="C28" vm="46">
        <v>46036</v>
      </c>
      <c r="D28" t="str">
        <v>East</v>
      </c>
      <c r="E28" t="str">
        <v>Laptop</v>
      </c>
      <c r="F28">
        <v>6</v>
      </c>
      <c r="G28">
        <v>1200</v>
      </c>
      <c r="H28">
        <v>7200</v>
      </c>
    </row>
    <row r="29" spans="1:12" ht="18" thickBot="1" x14ac:dyDescent="0.35">
      <c r="A29" s="37" t="s">
        <v>599</v>
      </c>
      <c r="B29" s="37"/>
      <c r="C29" s="37"/>
    </row>
    <row r="30" spans="1:12" ht="15.75" thickTop="1" x14ac:dyDescent="0.25">
      <c r="A30" t="e" cm="1" vm="47">
        <f t="array" ref="A30">_xlfn._xlws.PY(56,1)</f>
        <v>#VALUE!</v>
      </c>
    </row>
    <row r="31" spans="1:12" x14ac:dyDescent="0.25">
      <c r="A31" t="str" cm="1">
        <f t="array" ref="A31:C34">_FV(A30,"arraypreview")</f>
        <v/>
      </c>
      <c r="B31" t="str">
        <v>Insight</v>
      </c>
      <c r="C31" t="str">
        <v>Result</v>
      </c>
    </row>
    <row r="32" spans="1:12" x14ac:dyDescent="0.25">
      <c r="A32">
        <v>0</v>
      </c>
      <c r="B32" t="str">
        <v>Best Region</v>
      </c>
      <c r="C32" t="str">
        <v>North</v>
      </c>
    </row>
    <row r="33" spans="1:3" x14ac:dyDescent="0.25">
      <c r="A33">
        <v>1</v>
      </c>
      <c r="B33" t="str">
        <v>Best Product</v>
      </c>
      <c r="C33" t="str">
        <v>Laptop</v>
      </c>
    </row>
    <row r="34" spans="1:3" x14ac:dyDescent="0.25">
      <c r="A34">
        <v>2</v>
      </c>
      <c r="B34" t="str">
        <v>Total Revenue</v>
      </c>
      <c r="C34" s="19">
        <v>36425</v>
      </c>
    </row>
    <row r="37" spans="1:3" ht="18" thickBot="1" x14ac:dyDescent="0.35">
      <c r="A37" s="37" t="s">
        <v>600</v>
      </c>
    </row>
    <row r="38" spans="1:3" ht="15.75" thickTop="1" x14ac:dyDescent="0.25">
      <c r="A38" t="e" cm="1" vm="48">
        <f t="array" ref="A38">_xlfn._xlws.PY(57,1)</f>
        <v>#VALUE!</v>
      </c>
    </row>
    <row r="40" spans="1:3" ht="18" thickBot="1" x14ac:dyDescent="0.35">
      <c r="A40" s="37" t="s">
        <v>601</v>
      </c>
    </row>
    <row r="41" spans="1:3" ht="15.75" thickTop="1" x14ac:dyDescent="0.25">
      <c r="A41" cm="1" vm="49">
        <f t="array" ref="A41">_xlfn._xlws.PY(58,1)</f>
        <v>38246.25</v>
      </c>
    </row>
    <row r="44" spans="1:3" ht="18" thickBot="1" x14ac:dyDescent="0.35">
      <c r="A44" s="37" t="s">
        <v>602</v>
      </c>
    </row>
    <row r="45" spans="1:3" ht="15.75" thickTop="1" x14ac:dyDescent="0.25">
      <c r="A45" t="e" cm="1" vm="50">
        <f t="array" ref="A45">_xlfn._xlws.PY(59,1)</f>
        <v>#VALUE!</v>
      </c>
    </row>
    <row r="49" spans="1:10" ht="18" thickBot="1" x14ac:dyDescent="0.35">
      <c r="A49" s="37" t="s">
        <v>603</v>
      </c>
    </row>
    <row r="50" spans="1:10" ht="15.75" thickTop="1" x14ac:dyDescent="0.25">
      <c r="A50" t="e" cm="1" vm="51">
        <f t="array" ref="A50">_xlfn._xlws.PY(60,1)</f>
        <v>#VALUE!</v>
      </c>
      <c r="B50" t="str" cm="1">
        <f t="array" ref="B50:J61">_FV(A50,"arrayPreview")</f>
        <v/>
      </c>
      <c r="C50" t="str">
        <v>Date</v>
      </c>
      <c r="D50" t="str">
        <v>Region</v>
      </c>
      <c r="E50" t="str">
        <v>Product</v>
      </c>
      <c r="F50" t="str">
        <v>Quantity</v>
      </c>
      <c r="G50" t="str">
        <v>UnitPrice</v>
      </c>
      <c r="H50" t="str">
        <v>Revenue</v>
      </c>
      <c r="I50" t="str">
        <v>Revenue_Plus5</v>
      </c>
      <c r="J50" t="str">
        <v>Category</v>
      </c>
    </row>
    <row r="51" spans="1:10" x14ac:dyDescent="0.25">
      <c r="B51">
        <v>0</v>
      </c>
      <c r="C51" vm="52">
        <v>46023</v>
      </c>
      <c r="D51" t="str">
        <v>North</v>
      </c>
      <c r="E51" t="str">
        <v>Laptop</v>
      </c>
      <c r="F51">
        <v>5</v>
      </c>
      <c r="G51">
        <v>1200</v>
      </c>
      <c r="H51">
        <v>6000</v>
      </c>
      <c r="I51">
        <v>6300</v>
      </c>
      <c r="J51" t="str">
        <v>Excellent</v>
      </c>
    </row>
    <row r="52" spans="1:10" x14ac:dyDescent="0.25">
      <c r="B52">
        <v>1</v>
      </c>
      <c r="C52" vm="53">
        <v>46024</v>
      </c>
      <c r="D52" t="str">
        <v>South</v>
      </c>
      <c r="E52" t="str">
        <v>Monitor</v>
      </c>
      <c r="F52">
        <v>8</v>
      </c>
      <c r="G52">
        <v>300</v>
      </c>
      <c r="H52">
        <v>2400</v>
      </c>
      <c r="I52">
        <v>2520</v>
      </c>
      <c r="J52" t="str">
        <v>Good</v>
      </c>
    </row>
    <row r="53" spans="1:10" x14ac:dyDescent="0.25">
      <c r="B53">
        <v>2</v>
      </c>
      <c r="C53" vm="53">
        <v>46024</v>
      </c>
      <c r="D53" t="str">
        <v>North</v>
      </c>
      <c r="E53" t="str">
        <v>Keyboard</v>
      </c>
      <c r="F53">
        <v>15</v>
      </c>
      <c r="G53">
        <v>50</v>
      </c>
      <c r="H53">
        <v>750</v>
      </c>
      <c r="I53">
        <v>787.5</v>
      </c>
      <c r="J53" t="str">
        <v>Standard</v>
      </c>
    </row>
    <row r="54" spans="1:10" x14ac:dyDescent="0.25">
      <c r="B54">
        <v>3</v>
      </c>
      <c r="C54" vm="54">
        <v>46025</v>
      </c>
      <c r="D54" t="str">
        <v>West</v>
      </c>
      <c r="E54" t="str">
        <v>Laptop</v>
      </c>
      <c r="F54">
        <v>3</v>
      </c>
      <c r="G54">
        <v>1200</v>
      </c>
      <c r="H54">
        <v>3600</v>
      </c>
      <c r="I54">
        <v>3780</v>
      </c>
      <c r="J54" t="str">
        <v>Good</v>
      </c>
    </row>
    <row r="55" spans="1:10" x14ac:dyDescent="0.25">
      <c r="B55">
        <v>4</v>
      </c>
      <c r="C55" vm="55">
        <v>46026</v>
      </c>
      <c r="D55" t="str">
        <v>South</v>
      </c>
      <c r="E55" t="str">
        <v>Mouse</v>
      </c>
      <c r="F55">
        <v>20</v>
      </c>
      <c r="G55">
        <v>25</v>
      </c>
      <c r="H55">
        <v>500</v>
      </c>
      <c r="I55">
        <v>525</v>
      </c>
      <c r="J55" t="str">
        <v>Standard</v>
      </c>
    </row>
    <row r="56" spans="1:10" x14ac:dyDescent="0.25">
      <c r="B56" t="str">
        <v>...</v>
      </c>
      <c r="C56" t="str">
        <v>...</v>
      </c>
      <c r="D56" t="str">
        <v>...</v>
      </c>
      <c r="E56" t="str">
        <v>...</v>
      </c>
      <c r="F56" t="str">
        <v>...</v>
      </c>
      <c r="G56" t="str">
        <v>...</v>
      </c>
      <c r="H56" t="str">
        <v>...</v>
      </c>
      <c r="I56" t="str">
        <v>...</v>
      </c>
      <c r="J56" t="str">
        <v>...</v>
      </c>
    </row>
    <row r="57" spans="1:10" x14ac:dyDescent="0.25">
      <c r="B57">
        <v>11</v>
      </c>
      <c r="C57" vm="56">
        <v>46033</v>
      </c>
      <c r="D57" t="str">
        <v>North</v>
      </c>
      <c r="E57" t="str">
        <v>Laptop</v>
      </c>
      <c r="F57">
        <v>4</v>
      </c>
      <c r="G57">
        <v>1200</v>
      </c>
      <c r="H57">
        <v>4800</v>
      </c>
      <c r="I57">
        <v>5040</v>
      </c>
      <c r="J57" t="str">
        <v>Good</v>
      </c>
    </row>
    <row r="58" spans="1:10" x14ac:dyDescent="0.25">
      <c r="B58">
        <v>12</v>
      </c>
      <c r="C58" vm="57">
        <v>46034</v>
      </c>
      <c r="D58" t="str">
        <v>East</v>
      </c>
      <c r="E58" t="str">
        <v>Mouse</v>
      </c>
      <c r="F58">
        <v>23</v>
      </c>
      <c r="G58">
        <v>25</v>
      </c>
      <c r="H58">
        <v>575</v>
      </c>
      <c r="I58">
        <v>603.75</v>
      </c>
      <c r="J58" t="str">
        <v>Standard</v>
      </c>
    </row>
    <row r="59" spans="1:10" x14ac:dyDescent="0.25">
      <c r="B59">
        <v>13</v>
      </c>
      <c r="C59" vm="58">
        <v>46035</v>
      </c>
      <c r="D59" t="str">
        <v>North</v>
      </c>
      <c r="E59" t="str">
        <v>Monitor</v>
      </c>
      <c r="F59">
        <v>11</v>
      </c>
      <c r="G59">
        <v>300</v>
      </c>
      <c r="H59">
        <v>3300</v>
      </c>
      <c r="I59">
        <v>3465</v>
      </c>
      <c r="J59" t="str">
        <v>Good</v>
      </c>
    </row>
    <row r="60" spans="1:10" x14ac:dyDescent="0.25">
      <c r="B60">
        <v>14</v>
      </c>
      <c r="C60" vm="46">
        <v>46036</v>
      </c>
      <c r="D60" t="str">
        <v>East</v>
      </c>
      <c r="E60" t="str">
        <v>Laptop</v>
      </c>
      <c r="F60">
        <v>6</v>
      </c>
      <c r="G60">
        <v>1200</v>
      </c>
      <c r="H60">
        <v>7200</v>
      </c>
      <c r="I60">
        <v>7560</v>
      </c>
      <c r="J60" t="str">
        <v>Excellent</v>
      </c>
    </row>
    <row r="61" spans="1:10" x14ac:dyDescent="0.25">
      <c r="B61">
        <v>15</v>
      </c>
      <c r="C61" vm="59">
        <v>46037</v>
      </c>
      <c r="D61" t="str">
        <v>West</v>
      </c>
      <c r="E61" t="str">
        <v>Keyboard</v>
      </c>
      <c r="F61">
        <v>7</v>
      </c>
      <c r="G61">
        <v>50</v>
      </c>
      <c r="H61">
        <v>350</v>
      </c>
      <c r="I61">
        <v>367.5</v>
      </c>
      <c r="J61" t="str">
        <v>Standard</v>
      </c>
    </row>
    <row r="65" spans="1:1" ht="18" thickBot="1" x14ac:dyDescent="0.35">
      <c r="A65" s="37" t="s">
        <v>605</v>
      </c>
    </row>
    <row r="66" spans="1:1" ht="15.75" thickTop="1" x14ac:dyDescent="0.25">
      <c r="A66" t="str" cm="1">
        <f t="array" ref="A66:A67">_xlfn._xlws.PY(61,0)</f>
        <v>Alerts</v>
      </c>
    </row>
    <row r="67" spans="1:1" x14ac:dyDescent="0.25">
      <c r="A67" t="str">
        <v>Warning: South is below target (€3,500)</v>
      </c>
    </row>
    <row r="82" spans="1:4" ht="18" thickBot="1" x14ac:dyDescent="0.35">
      <c r="A82" s="37" t="s">
        <v>604</v>
      </c>
    </row>
    <row r="83" spans="1:4" ht="15.75" thickTop="1" x14ac:dyDescent="0.25">
      <c r="A83" t="e" cm="1" vm="60">
        <f t="array" ref="A83">_xlfn._xlws.PY(62,1)</f>
        <v>#VALUE!</v>
      </c>
      <c r="B83" t="str" cm="1">
        <f t="array" ref="B83:D84">_FV(A83,"arrayPreview")</f>
        <v/>
      </c>
      <c r="C83" t="str">
        <v>Metric</v>
      </c>
      <c r="D83" t="str">
        <v>Value</v>
      </c>
    </row>
    <row r="84" spans="1:4" x14ac:dyDescent="0.25">
      <c r="B84">
        <v>0</v>
      </c>
      <c r="C84" t="str">
        <v>Total Bonus Paid</v>
      </c>
      <c r="D84">
        <v>2270.5</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6" ma:contentTypeDescription="Crée un document." ma:contentTypeScope="" ma:versionID="061a3bdc43ae470eb5c9dc5d8dc29615">
  <xsd:schema xmlns:xsd="http://www.w3.org/2001/XMLSchema" xmlns:xs="http://www.w3.org/2001/XMLSchema" xmlns:p="http://schemas.microsoft.com/office/2006/metadata/properties" xmlns:ns2="037ed5ce-9e80-41f7-81a5-4f297c26d5d9" targetNamespace="http://schemas.microsoft.com/office/2006/metadata/properties" ma:root="true" ma:fieldsID="edb97596358d8556cd5f986c8e1f1805"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ujet" minOccurs="0"/>
                <xsd:element ref="ns2:Niveau" minOccurs="0"/>
                <xsd:element ref="ns2:Lan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ujet" ma:index="11" nillable="true" ma:displayName="Sujet" ma:format="Dropdown" ma:internalName="Sujet">
      <xsd:simpleType>
        <xsd:restriction base="dms:Text">
          <xsd:maxLength value="255"/>
        </xsd:restriction>
      </xsd:simpleType>
    </xsd:element>
    <xsd:element name="Niveau" ma:index="12" nillable="true" ma:displayName="Niveau" ma:format="Dropdown" ma:internalName="Niveau">
      <xsd:simpleType>
        <xsd:restriction base="dms:Choice">
          <xsd:enumeration value="Bases"/>
          <xsd:enumeration value="Intermédiaire"/>
          <xsd:enumeration value="Avancé"/>
        </xsd:restriction>
      </xsd:simpleType>
    </xsd:element>
    <xsd:element name="Langue" ma:index="13" nillable="true" ma:displayName="Langue" ma:default="FRANCAIS" ma:format="Dropdown" ma:internalName="Langue">
      <xsd:simpleType>
        <xsd:restriction base="dms:Choice">
          <xsd:enumeration value="FRANCAIS"/>
          <xsd:enumeration value="ENGLISH"/>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ujet xmlns="037ed5ce-9e80-41f7-81a5-4f297c26d5d9" xsi:nil="true"/>
    <Langue xmlns="037ed5ce-9e80-41f7-81a5-4f297c26d5d9">FRANCAIS</Langue>
    <Niveau xmlns="037ed5ce-9e80-41f7-81a5-4f297c26d5d9" xsi:nil="true"/>
  </documentManagement>
</p:properties>
</file>

<file path=customXml/itemProps1.xml><?xml version="1.0" encoding="utf-8"?>
<ds:datastoreItem xmlns:ds="http://schemas.openxmlformats.org/officeDocument/2006/customXml" ds:itemID="{5FA59368-97F6-43CC-B302-ED112F8B3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A0C344-7912-4384-8ACE-1D565A63C037}">
  <ds:schemaRefs>
    <ds:schemaRef ds:uri="http://schemas.microsoft.com/sharepoint/v3/contenttype/forms"/>
  </ds:schemaRefs>
</ds:datastoreItem>
</file>

<file path=customXml/itemProps3.xml><?xml version="1.0" encoding="utf-8"?>
<ds:datastoreItem xmlns:ds="http://schemas.openxmlformats.org/officeDocument/2006/customXml" ds:itemID="{29948E12-2E7B-48F3-BFB5-9D64759281AF}">
  <ds:schemaRefs>
    <ds:schemaRef ds:uri="http://purl.org/dc/dcmitype/"/>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037ed5ce-9e80-41f7-81a5-4f297c26d5d9"/>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Variables</vt:lpstr>
      <vt:lpstr>HOME</vt:lpstr>
      <vt:lpstr>XL()</vt:lpstr>
      <vt:lpstr>Dates in Python</vt:lpstr>
      <vt:lpstr>DATAFRAME</vt:lpstr>
      <vt:lpstr>Cleaning and fusion</vt:lpstr>
      <vt:lpstr>Unpivot in Python</vt:lpstr>
      <vt:lpstr>Matplotlib</vt:lpstr>
      <vt:lpstr>Seaborn-Violin</vt:lpstr>
      <vt:lpstr>Seaborn-Pairplot</vt:lpstr>
      <vt:lpstr>Seaborn-Catplot</vt:lpstr>
      <vt:lpstr>Seaborn-Heatmap(Correlation)</vt:lpstr>
      <vt:lpstr>RECAP</vt:lpstr>
      <vt:lpstr>one_hundred</vt:lpstr>
      <vt:lpstr>VATrate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 Moreau, manager</dc:creator>
  <cp:lastModifiedBy>Ludovic Moreau, manager</cp:lastModifiedBy>
  <dcterms:created xsi:type="dcterms:W3CDTF">2026-01-30T08:43:21Z</dcterms:created>
  <dcterms:modified xsi:type="dcterms:W3CDTF">2026-09-29T13:55:43Z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ies>
</file>